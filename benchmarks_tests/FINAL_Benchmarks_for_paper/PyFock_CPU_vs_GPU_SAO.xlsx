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2223E185-8A2B-1E40-9DD5-7526C8F73BF6}" xr6:coauthVersionLast="47" xr6:coauthVersionMax="47" xr10:uidLastSave="{00000000-0000-0000-0000-000000000000}"/>
  <bookViews>
    <workbookView xWindow="640" yWindow="3800" windowWidth="27640" windowHeight="16460" xr2:uid="{0352C87C-B4A4-4D4C-883B-F1396BEEB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H21" i="1"/>
  <c r="H22" i="1"/>
  <c r="H23" i="1"/>
  <c r="H24" i="1"/>
  <c r="H25" i="1"/>
  <c r="H26" i="1"/>
  <c r="H27" i="1"/>
  <c r="H20" i="1"/>
  <c r="I20" i="1"/>
  <c r="G21" i="1"/>
  <c r="G22" i="1"/>
  <c r="G23" i="1"/>
  <c r="G24" i="1"/>
  <c r="G25" i="1"/>
  <c r="G26" i="1"/>
  <c r="G27" i="1"/>
  <c r="G20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</calcChain>
</file>

<file path=xl/sharedStrings.xml><?xml version="1.0" encoding="utf-8"?>
<sst xmlns="http://schemas.openxmlformats.org/spreadsheetml/2006/main" count="36" uniqueCount="25">
  <si>
    <t>PyFock CPU vs GPU</t>
  </si>
  <si>
    <t>water clusters</t>
  </si>
  <si>
    <t>def2-SVP</t>
  </si>
  <si>
    <t>No. of water molecules</t>
  </si>
  <si>
    <t>No. of basis functions</t>
  </si>
  <si>
    <t>Total Time Taken (s)</t>
  </si>
  <si>
    <t>J time (s)</t>
  </si>
  <si>
    <t>XC (s)</t>
  </si>
  <si>
    <t>Iterations</t>
  </si>
  <si>
    <t>Total Time Taken (s) / iter</t>
  </si>
  <si>
    <t>J time (s) / iter</t>
  </si>
  <si>
    <t>XC (s) / iter</t>
  </si>
  <si>
    <t>GPU</t>
  </si>
  <si>
    <t>Comparison Total</t>
  </si>
  <si>
    <t>Total time/iter (s) GPU</t>
  </si>
  <si>
    <t>Total time/iter (s) CPU</t>
  </si>
  <si>
    <t>XC / iter (s) (CPU)</t>
  </si>
  <si>
    <t>XC / iter (s) (GPU)</t>
  </si>
  <si>
    <t>J  / iter (s) (CPU)</t>
  </si>
  <si>
    <t>J  / iter (s) (GPU)</t>
  </si>
  <si>
    <t>Cholesky off</t>
  </si>
  <si>
    <t>save ao off</t>
  </si>
  <si>
    <t>xc block 20480</t>
  </si>
  <si>
    <t>max register 128</t>
  </si>
  <si>
    <t>CPU 4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</si>
</sst>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E5BC-ACB8-5342-8560-2CBC0237DCD6}">
  <dimension ref="A1:I41"/>
  <sheetViews>
    <sheetView tabSelected="1" workbookViewId="0">
      <selection activeCell="A18" sqref="A18"/>
    </sheetView>
  </sheetViews>
  <sheetFormatPr baseColWidth="10" defaultRowHeight="16" x14ac:dyDescent="0.2"/>
  <cols>
    <col min="1" max="1" width="21.6640625" customWidth="1"/>
    <col min="2" max="2" width="21.1640625" customWidth="1"/>
    <col min="3" max="3" width="19.6640625" customWidth="1"/>
    <col min="4" max="4" width="19.5" customWidth="1"/>
    <col min="5" max="5" width="20.33203125" customWidth="1"/>
    <col min="6" max="6" width="19.5" customWidth="1"/>
    <col min="7" max="7" width="24" customWidth="1"/>
    <col min="8" max="8" width="20.33203125" customWidth="1"/>
  </cols>
  <sheetData>
    <row r="1" spans="1:9" x14ac:dyDescent="0.2">
      <c r="A1" s="1" t="s">
        <v>0</v>
      </c>
    </row>
    <row r="2" spans="1:9" x14ac:dyDescent="0.2">
      <c r="A2" s="1" t="s">
        <v>1</v>
      </c>
      <c r="B2" t="s">
        <v>20</v>
      </c>
    </row>
    <row r="3" spans="1:9" x14ac:dyDescent="0.2">
      <c r="A3" s="1" t="s">
        <v>2</v>
      </c>
      <c r="B3" t="s">
        <v>21</v>
      </c>
      <c r="C3" t="s">
        <v>23</v>
      </c>
    </row>
    <row r="4" spans="1:9" x14ac:dyDescent="0.2">
      <c r="A4" s="1" t="s">
        <v>12</v>
      </c>
      <c r="B4" t="s">
        <v>22</v>
      </c>
    </row>
    <row r="5" spans="1:9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x14ac:dyDescent="0.2">
      <c r="A6">
        <v>1</v>
      </c>
      <c r="C6" s="2"/>
      <c r="D6" s="2"/>
      <c r="E6" s="2"/>
      <c r="F6" s="2"/>
      <c r="G6" t="e">
        <f>C6/F6</f>
        <v>#DIV/0!</v>
      </c>
      <c r="H6" t="e">
        <f>D6/F6</f>
        <v>#DIV/0!</v>
      </c>
      <c r="I6" t="e">
        <f>E6/F6</f>
        <v>#DIV/0!</v>
      </c>
    </row>
    <row r="7" spans="1:9" x14ac:dyDescent="0.2">
      <c r="A7">
        <v>5</v>
      </c>
      <c r="B7">
        <v>120</v>
      </c>
      <c r="C7" s="2"/>
      <c r="D7" s="2"/>
      <c r="E7" s="2"/>
      <c r="F7" s="2"/>
      <c r="G7" t="e">
        <f t="shared" ref="G7:G14" si="0">C7/F7</f>
        <v>#DIV/0!</v>
      </c>
      <c r="H7" t="e">
        <f t="shared" ref="H7:H14" si="1">D7/F7</f>
        <v>#DIV/0!</v>
      </c>
      <c r="I7" t="e">
        <f t="shared" ref="I7:I14" si="2">E7/F7</f>
        <v>#DIV/0!</v>
      </c>
    </row>
    <row r="8" spans="1:9" x14ac:dyDescent="0.2">
      <c r="A8">
        <v>10</v>
      </c>
      <c r="B8">
        <v>240</v>
      </c>
      <c r="C8" s="2">
        <v>2.38</v>
      </c>
      <c r="D8" s="2">
        <v>0.68</v>
      </c>
      <c r="E8" s="2">
        <v>1.06</v>
      </c>
      <c r="F8" s="2">
        <v>13</v>
      </c>
      <c r="G8">
        <f t="shared" si="0"/>
        <v>0.18307692307692308</v>
      </c>
      <c r="H8">
        <f t="shared" si="1"/>
        <v>5.2307692307692312E-2</v>
      </c>
      <c r="I8">
        <f t="shared" si="2"/>
        <v>8.1538461538461546E-2</v>
      </c>
    </row>
    <row r="9" spans="1:9" x14ac:dyDescent="0.2">
      <c r="A9">
        <v>20</v>
      </c>
      <c r="B9">
        <v>480</v>
      </c>
      <c r="C9" s="2">
        <v>5.25</v>
      </c>
      <c r="D9" s="2">
        <v>1.96</v>
      </c>
      <c r="E9" s="2">
        <v>2.0699999999999998</v>
      </c>
      <c r="F9" s="2">
        <v>13</v>
      </c>
      <c r="G9">
        <f t="shared" si="0"/>
        <v>0.40384615384615385</v>
      </c>
      <c r="H9">
        <f t="shared" si="1"/>
        <v>0.15076923076923077</v>
      </c>
      <c r="I9">
        <f t="shared" si="2"/>
        <v>0.15923076923076923</v>
      </c>
    </row>
    <row r="10" spans="1:9" x14ac:dyDescent="0.2">
      <c r="A10">
        <v>32</v>
      </c>
      <c r="B10">
        <v>768</v>
      </c>
      <c r="C10" s="2">
        <v>10.61</v>
      </c>
      <c r="D10" s="2">
        <v>4.43</v>
      </c>
      <c r="E10" s="2">
        <v>3.84</v>
      </c>
      <c r="F10" s="2">
        <v>15</v>
      </c>
      <c r="G10">
        <f t="shared" si="0"/>
        <v>0.70733333333333326</v>
      </c>
      <c r="H10">
        <f t="shared" si="1"/>
        <v>0.29533333333333334</v>
      </c>
      <c r="I10">
        <f t="shared" si="2"/>
        <v>0.25600000000000001</v>
      </c>
    </row>
    <row r="11" spans="1:9" x14ac:dyDescent="0.2">
      <c r="A11">
        <v>47</v>
      </c>
      <c r="B11">
        <v>1128</v>
      </c>
      <c r="C11" s="2">
        <v>20.149999999999999</v>
      </c>
      <c r="D11" s="2">
        <v>9.57</v>
      </c>
      <c r="E11" s="2">
        <v>6.36</v>
      </c>
      <c r="F11" s="2">
        <v>16</v>
      </c>
      <c r="G11">
        <f t="shared" si="0"/>
        <v>1.2593749999999999</v>
      </c>
      <c r="H11">
        <f t="shared" si="1"/>
        <v>0.59812500000000002</v>
      </c>
      <c r="I11">
        <f t="shared" si="2"/>
        <v>0.39750000000000002</v>
      </c>
    </row>
    <row r="12" spans="1:9" x14ac:dyDescent="0.2">
      <c r="A12">
        <v>76</v>
      </c>
      <c r="B12">
        <v>1824</v>
      </c>
      <c r="C12" s="2">
        <v>47.41</v>
      </c>
      <c r="D12" s="2">
        <v>24.56</v>
      </c>
      <c r="E12" s="2">
        <v>12.65</v>
      </c>
      <c r="F12" s="2">
        <v>17</v>
      </c>
      <c r="G12">
        <f t="shared" si="0"/>
        <v>2.7888235294117645</v>
      </c>
      <c r="H12">
        <f t="shared" si="1"/>
        <v>1.4447058823529411</v>
      </c>
      <c r="I12">
        <f t="shared" si="2"/>
        <v>0.74411764705882355</v>
      </c>
    </row>
    <row r="13" spans="1:9" x14ac:dyDescent="0.2">
      <c r="A13">
        <v>100</v>
      </c>
      <c r="B13">
        <v>2400</v>
      </c>
      <c r="C13" s="2">
        <v>74.5</v>
      </c>
      <c r="D13" s="2">
        <v>43.29</v>
      </c>
      <c r="E13" s="2">
        <v>16.36</v>
      </c>
      <c r="F13" s="2">
        <v>16</v>
      </c>
      <c r="G13">
        <f t="shared" si="0"/>
        <v>4.65625</v>
      </c>
      <c r="H13">
        <f t="shared" si="1"/>
        <v>2.7056249999999999</v>
      </c>
      <c r="I13">
        <f t="shared" si="2"/>
        <v>1.0225</v>
      </c>
    </row>
    <row r="14" spans="1:9" x14ac:dyDescent="0.2">
      <c r="A14">
        <v>139</v>
      </c>
      <c r="B14">
        <v>3336</v>
      </c>
      <c r="C14" s="2">
        <v>132.19999999999999</v>
      </c>
      <c r="D14" s="2">
        <v>85.39</v>
      </c>
      <c r="E14" s="2">
        <v>21.96</v>
      </c>
      <c r="F14" s="2">
        <v>14</v>
      </c>
      <c r="G14">
        <f t="shared" si="0"/>
        <v>9.4428571428571413</v>
      </c>
      <c r="H14">
        <f t="shared" si="1"/>
        <v>6.0992857142857142</v>
      </c>
      <c r="I14">
        <f t="shared" si="2"/>
        <v>1.5685714285714287</v>
      </c>
    </row>
    <row r="17" spans="1:9" x14ac:dyDescent="0.2">
      <c r="A17" s="1" t="s">
        <v>24</v>
      </c>
    </row>
    <row r="18" spans="1:9" x14ac:dyDescent="0.2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8</v>
      </c>
      <c r="G18" s="1" t="s">
        <v>9</v>
      </c>
      <c r="H18" s="1" t="s">
        <v>10</v>
      </c>
      <c r="I18" s="1" t="s">
        <v>11</v>
      </c>
    </row>
    <row r="19" spans="1:9" x14ac:dyDescent="0.2">
      <c r="A19" s="3">
        <v>1</v>
      </c>
      <c r="C19" s="3"/>
      <c r="D19" s="3"/>
      <c r="E19" s="3"/>
      <c r="F19" s="3"/>
      <c r="G19" s="3"/>
      <c r="H19" s="3"/>
      <c r="I19" s="3"/>
    </row>
    <row r="20" spans="1:9" x14ac:dyDescent="0.2">
      <c r="A20" s="3">
        <v>5</v>
      </c>
      <c r="B20">
        <v>120</v>
      </c>
      <c r="C20" s="2">
        <v>2.63</v>
      </c>
      <c r="D20" s="2">
        <v>0.68</v>
      </c>
      <c r="E20" s="2">
        <v>0.98</v>
      </c>
      <c r="F20" s="2">
        <v>10</v>
      </c>
      <c r="G20" s="3">
        <f>C20/$F20</f>
        <v>0.26300000000000001</v>
      </c>
      <c r="H20" s="3">
        <f t="shared" ref="H20:I27" si="3">D20/$F20</f>
        <v>6.8000000000000005E-2</v>
      </c>
      <c r="I20" s="3">
        <f t="shared" si="3"/>
        <v>9.8000000000000004E-2</v>
      </c>
    </row>
    <row r="21" spans="1:9" x14ac:dyDescent="0.2">
      <c r="A21" s="3">
        <v>10</v>
      </c>
      <c r="B21">
        <v>240</v>
      </c>
      <c r="C21" s="2">
        <v>8.35</v>
      </c>
      <c r="D21" s="2">
        <v>2.2799999999999998</v>
      </c>
      <c r="E21" s="2">
        <v>4.0599999999999996</v>
      </c>
      <c r="F21" s="2">
        <v>13</v>
      </c>
      <c r="G21" s="3">
        <f t="shared" ref="G21:G27" si="4">C21/$F21</f>
        <v>0.64230769230769225</v>
      </c>
      <c r="H21" s="3">
        <f t="shared" si="3"/>
        <v>0.17538461538461536</v>
      </c>
      <c r="I21" s="3">
        <f t="shared" si="3"/>
        <v>0.31230769230769229</v>
      </c>
    </row>
    <row r="22" spans="1:9" x14ac:dyDescent="0.2">
      <c r="A22" s="3">
        <v>20</v>
      </c>
      <c r="B22">
        <v>480</v>
      </c>
      <c r="C22" s="2">
        <v>29.57</v>
      </c>
      <c r="D22" s="2">
        <v>10.67</v>
      </c>
      <c r="E22" s="2">
        <v>12.16</v>
      </c>
      <c r="F22" s="2">
        <v>13</v>
      </c>
      <c r="G22" s="3">
        <f t="shared" si="4"/>
        <v>2.2746153846153847</v>
      </c>
      <c r="H22" s="3">
        <f t="shared" si="3"/>
        <v>0.82076923076923081</v>
      </c>
      <c r="I22" s="3">
        <f t="shared" si="3"/>
        <v>0.93538461538461537</v>
      </c>
    </row>
    <row r="23" spans="1:9" x14ac:dyDescent="0.2">
      <c r="A23" s="3">
        <v>32</v>
      </c>
      <c r="B23">
        <v>768</v>
      </c>
      <c r="C23" s="2">
        <v>77.77</v>
      </c>
      <c r="D23" s="2">
        <v>29.71</v>
      </c>
      <c r="E23" s="2">
        <v>29.46</v>
      </c>
      <c r="F23" s="2">
        <v>15</v>
      </c>
      <c r="G23" s="3">
        <f t="shared" si="4"/>
        <v>5.1846666666666668</v>
      </c>
      <c r="H23" s="3">
        <f t="shared" si="3"/>
        <v>1.9806666666666668</v>
      </c>
      <c r="I23" s="3">
        <f t="shared" si="3"/>
        <v>1.964</v>
      </c>
    </row>
    <row r="24" spans="1:9" x14ac:dyDescent="0.2">
      <c r="A24" s="3">
        <v>47</v>
      </c>
      <c r="B24">
        <v>1128</v>
      </c>
      <c r="C24" s="2">
        <v>177.3</v>
      </c>
      <c r="D24" s="2">
        <v>70.86</v>
      </c>
      <c r="E24" s="2">
        <v>60.62</v>
      </c>
      <c r="F24" s="2">
        <v>16</v>
      </c>
      <c r="G24" s="3">
        <f t="shared" si="4"/>
        <v>11.081250000000001</v>
      </c>
      <c r="H24" s="3">
        <f t="shared" si="3"/>
        <v>4.42875</v>
      </c>
      <c r="I24" s="3">
        <f t="shared" si="3"/>
        <v>3.7887499999999998</v>
      </c>
    </row>
    <row r="25" spans="1:9" x14ac:dyDescent="0.2">
      <c r="A25" s="3">
        <v>76</v>
      </c>
      <c r="B25">
        <v>1824</v>
      </c>
      <c r="C25" s="2">
        <v>484.97</v>
      </c>
      <c r="D25" s="2">
        <v>187.35</v>
      </c>
      <c r="E25" s="2">
        <v>152.31</v>
      </c>
      <c r="F25" s="2">
        <v>17</v>
      </c>
      <c r="G25" s="3">
        <f t="shared" si="4"/>
        <v>28.527647058823533</v>
      </c>
      <c r="H25" s="3">
        <f t="shared" si="3"/>
        <v>11.020588235294117</v>
      </c>
      <c r="I25" s="3">
        <f t="shared" si="3"/>
        <v>8.959411764705882</v>
      </c>
    </row>
    <row r="26" spans="1:9" x14ac:dyDescent="0.2">
      <c r="A26" s="3">
        <v>100</v>
      </c>
      <c r="B26">
        <v>2400</v>
      </c>
      <c r="C26" s="2">
        <v>836.5</v>
      </c>
      <c r="D26" s="2">
        <v>364.33</v>
      </c>
      <c r="E26" s="2">
        <v>203.48</v>
      </c>
      <c r="F26" s="2">
        <v>16</v>
      </c>
      <c r="G26" s="3">
        <f t="shared" si="4"/>
        <v>52.28125</v>
      </c>
      <c r="H26" s="3">
        <f t="shared" si="3"/>
        <v>22.770624999999999</v>
      </c>
      <c r="I26" s="3">
        <f t="shared" si="3"/>
        <v>12.717499999999999</v>
      </c>
    </row>
    <row r="27" spans="1:9" x14ac:dyDescent="0.2">
      <c r="A27" s="3">
        <v>139</v>
      </c>
      <c r="B27">
        <v>3336</v>
      </c>
      <c r="C27" s="2">
        <v>1550.15</v>
      </c>
      <c r="D27" s="2">
        <v>713.9</v>
      </c>
      <c r="E27" s="2">
        <v>298.32</v>
      </c>
      <c r="F27" s="2">
        <v>14</v>
      </c>
      <c r="G27" s="3">
        <f t="shared" si="4"/>
        <v>110.72500000000001</v>
      </c>
      <c r="H27" s="3">
        <f t="shared" si="3"/>
        <v>50.99285714285714</v>
      </c>
      <c r="I27" s="3">
        <f t="shared" si="3"/>
        <v>21.30857142857143</v>
      </c>
    </row>
    <row r="32" spans="1:9" x14ac:dyDescent="0.2">
      <c r="A32" s="1" t="s">
        <v>13</v>
      </c>
    </row>
    <row r="33" spans="1:8" x14ac:dyDescent="0.2">
      <c r="A33" s="1" t="s">
        <v>3</v>
      </c>
      <c r="B33" s="1" t="s">
        <v>4</v>
      </c>
      <c r="C33" s="1" t="s">
        <v>14</v>
      </c>
      <c r="D33" s="1" t="s">
        <v>15</v>
      </c>
      <c r="E33" s="1" t="s">
        <v>19</v>
      </c>
      <c r="F33" s="1" t="s">
        <v>18</v>
      </c>
      <c r="G33" s="4" t="s">
        <v>17</v>
      </c>
      <c r="H33" s="4" t="s">
        <v>16</v>
      </c>
    </row>
    <row r="34" spans="1:8" x14ac:dyDescent="0.2">
      <c r="A34">
        <v>5</v>
      </c>
      <c r="B34">
        <v>120</v>
      </c>
    </row>
    <row r="35" spans="1:8" x14ac:dyDescent="0.2">
      <c r="A35">
        <v>10</v>
      </c>
      <c r="B35">
        <v>240</v>
      </c>
    </row>
    <row r="36" spans="1:8" x14ac:dyDescent="0.2">
      <c r="A36">
        <v>20</v>
      </c>
      <c r="B36">
        <v>480</v>
      </c>
    </row>
    <row r="37" spans="1:8" x14ac:dyDescent="0.2">
      <c r="A37">
        <v>32</v>
      </c>
      <c r="B37">
        <v>768</v>
      </c>
    </row>
    <row r="38" spans="1:8" x14ac:dyDescent="0.2">
      <c r="A38">
        <v>47</v>
      </c>
      <c r="B38">
        <v>1128</v>
      </c>
    </row>
    <row r="39" spans="1:8" x14ac:dyDescent="0.2">
      <c r="A39">
        <v>76</v>
      </c>
      <c r="B39">
        <v>1824</v>
      </c>
    </row>
    <row r="40" spans="1:8" x14ac:dyDescent="0.2">
      <c r="A40">
        <v>100</v>
      </c>
      <c r="B40">
        <v>2400</v>
      </c>
    </row>
    <row r="41" spans="1:8" x14ac:dyDescent="0.2">
      <c r="A41">
        <v>139</v>
      </c>
      <c r="B41">
        <v>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2025-08-15T12:19:05Z</dcterms:created>
  <dcterms:modified xsi:type="dcterms:W3CDTF">2026-05-13T03:04:59Z</dcterms:modified>
</cp:coreProperties>
</file>