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nas/Documents/PyFock/benchmarks_tests/FINAL_Benchmarks_for_paper/"/>
    </mc:Choice>
  </mc:AlternateContent>
  <xr:revisionPtr revIDLastSave="0" documentId="13_ncr:1_{4A3A7DA1-97DE-AB43-86E7-FBFFE76F131F}" xr6:coauthVersionLast="47" xr6:coauthVersionMax="47" xr10:uidLastSave="{00000000-0000-0000-0000-000000000000}"/>
  <bookViews>
    <workbookView xWindow="640" yWindow="1140" windowWidth="27640" windowHeight="16460" xr2:uid="{0352C87C-B4A4-4D4C-883B-F1396BEEBB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2" i="1" l="1"/>
  <c r="E63" i="1"/>
  <c r="E64" i="1"/>
  <c r="E65" i="1"/>
  <c r="E66" i="1"/>
  <c r="E61" i="1"/>
  <c r="E67" i="1"/>
  <c r="E54" i="1"/>
  <c r="G54" i="1" s="1"/>
  <c r="E53" i="1"/>
  <c r="E52" i="1"/>
  <c r="E51" i="1"/>
  <c r="G51" i="1" s="1"/>
  <c r="E50" i="1"/>
  <c r="G50" i="1" s="1"/>
  <c r="E49" i="1"/>
  <c r="G49" i="1" s="1"/>
  <c r="E48" i="1"/>
  <c r="G48" i="1" s="1"/>
  <c r="G52" i="1"/>
  <c r="G53" i="1"/>
  <c r="G67" i="1"/>
  <c r="G66" i="1"/>
  <c r="G65" i="1"/>
  <c r="G64" i="1"/>
  <c r="G63" i="1"/>
  <c r="G62" i="1"/>
  <c r="G6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21" i="1"/>
  <c r="I22" i="1"/>
  <c r="I23" i="1"/>
  <c r="I24" i="1"/>
  <c r="I25" i="1"/>
  <c r="I26" i="1"/>
  <c r="I27" i="1"/>
  <c r="H21" i="1"/>
  <c r="H22" i="1"/>
  <c r="H23" i="1"/>
  <c r="H24" i="1"/>
  <c r="H25" i="1"/>
  <c r="H26" i="1"/>
  <c r="H27" i="1"/>
  <c r="H20" i="1"/>
  <c r="I20" i="1"/>
  <c r="G21" i="1"/>
  <c r="G22" i="1"/>
  <c r="G23" i="1"/>
  <c r="G24" i="1"/>
  <c r="G25" i="1"/>
  <c r="G26" i="1"/>
  <c r="G27" i="1"/>
  <c r="G20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</calcChain>
</file>

<file path=xl/sharedStrings.xml><?xml version="1.0" encoding="utf-8"?>
<sst xmlns="http://schemas.openxmlformats.org/spreadsheetml/2006/main" count="57" uniqueCount="23">
  <si>
    <t>PyFock CPU vs GPU</t>
  </si>
  <si>
    <t>water clusters</t>
  </si>
  <si>
    <t>def2-SVP</t>
  </si>
  <si>
    <t>No. of water molecules</t>
  </si>
  <si>
    <t>No. of basis functions</t>
  </si>
  <si>
    <t>Total Time Taken (s)</t>
  </si>
  <si>
    <t>J time (s)</t>
  </si>
  <si>
    <t>XC (s)</t>
  </si>
  <si>
    <t>Iterations</t>
  </si>
  <si>
    <t>Total Time Taken (s) / iter</t>
  </si>
  <si>
    <t>J time (s) / iter</t>
  </si>
  <si>
    <t>XC (s) / iter</t>
  </si>
  <si>
    <t>GPU</t>
  </si>
  <si>
    <t>Cholesky off</t>
  </si>
  <si>
    <t>save ao off</t>
  </si>
  <si>
    <t>xc block 20480</t>
  </si>
  <si>
    <t>max register 128</t>
  </si>
  <si>
    <t>CPU 4 cores</t>
  </si>
  <si>
    <t>CPU 32 cores</t>
  </si>
  <si>
    <t>PyFock</t>
  </si>
  <si>
    <t>PySCF</t>
  </si>
  <si>
    <t>Grids time (s)</t>
  </si>
  <si>
    <t>Tot-grids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</si>
</sst>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0E5BC-ACB8-5342-8560-2CBC0237DCD6}">
  <dimension ref="A1:I67"/>
  <sheetViews>
    <sheetView tabSelected="1" topLeftCell="A36" workbookViewId="0">
      <selection activeCell="H58" sqref="H58:I67"/>
    </sheetView>
  </sheetViews>
  <sheetFormatPr baseColWidth="10" defaultRowHeight="16" x14ac:dyDescent="0.2"/>
  <cols>
    <col min="1" max="1" width="21.6640625" customWidth="1"/>
    <col min="2" max="2" width="21.1640625" customWidth="1"/>
    <col min="3" max="3" width="19.6640625" customWidth="1"/>
    <col min="4" max="4" width="19.5" customWidth="1"/>
    <col min="5" max="5" width="20.33203125" customWidth="1"/>
    <col min="6" max="6" width="19.5" customWidth="1"/>
    <col min="7" max="7" width="24" customWidth="1"/>
    <col min="8" max="8" width="20.33203125" customWidth="1"/>
  </cols>
  <sheetData>
    <row r="1" spans="1:9" x14ac:dyDescent="0.2">
      <c r="A1" s="1" t="s">
        <v>0</v>
      </c>
    </row>
    <row r="2" spans="1:9" x14ac:dyDescent="0.2">
      <c r="A2" s="1" t="s">
        <v>1</v>
      </c>
      <c r="B2" t="s">
        <v>13</v>
      </c>
    </row>
    <row r="3" spans="1:9" x14ac:dyDescent="0.2">
      <c r="A3" s="1" t="s">
        <v>2</v>
      </c>
      <c r="B3" t="s">
        <v>14</v>
      </c>
      <c r="C3" t="s">
        <v>16</v>
      </c>
    </row>
    <row r="4" spans="1:9" x14ac:dyDescent="0.2">
      <c r="A4" s="1" t="s">
        <v>12</v>
      </c>
      <c r="B4" t="s">
        <v>15</v>
      </c>
    </row>
    <row r="5" spans="1:9" x14ac:dyDescent="0.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  <c r="H5" s="1" t="s">
        <v>10</v>
      </c>
      <c r="I5" s="1" t="s">
        <v>11</v>
      </c>
    </row>
    <row r="6" spans="1:9" x14ac:dyDescent="0.2">
      <c r="A6">
        <v>1</v>
      </c>
      <c r="C6" s="2"/>
      <c r="D6" s="2"/>
      <c r="E6" s="2"/>
      <c r="F6" s="2"/>
    </row>
    <row r="7" spans="1:9" x14ac:dyDescent="0.2">
      <c r="A7">
        <v>5</v>
      </c>
      <c r="B7">
        <v>120</v>
      </c>
      <c r="C7" s="2"/>
      <c r="D7" s="2"/>
      <c r="E7" s="2"/>
      <c r="F7" s="2"/>
    </row>
    <row r="8" spans="1:9" x14ac:dyDescent="0.2">
      <c r="A8">
        <v>10</v>
      </c>
      <c r="B8">
        <v>240</v>
      </c>
      <c r="C8" s="2">
        <v>2.38</v>
      </c>
      <c r="D8" s="2">
        <v>0.68</v>
      </c>
      <c r="E8" s="2">
        <v>1.06</v>
      </c>
      <c r="F8" s="2">
        <v>13</v>
      </c>
      <c r="G8">
        <f t="shared" ref="G8:G14" si="0">C8/F8</f>
        <v>0.18307692307692308</v>
      </c>
      <c r="H8">
        <f t="shared" ref="H8:H14" si="1">D8/F8</f>
        <v>5.2307692307692312E-2</v>
      </c>
      <c r="I8">
        <f t="shared" ref="I8:I14" si="2">E8/F8</f>
        <v>8.1538461538461546E-2</v>
      </c>
    </row>
    <row r="9" spans="1:9" x14ac:dyDescent="0.2">
      <c r="A9">
        <v>20</v>
      </c>
      <c r="B9">
        <v>480</v>
      </c>
      <c r="C9" s="2">
        <v>5.25</v>
      </c>
      <c r="D9" s="2">
        <v>1.96</v>
      </c>
      <c r="E9" s="2">
        <v>2.0699999999999998</v>
      </c>
      <c r="F9" s="2">
        <v>13</v>
      </c>
      <c r="G9">
        <f t="shared" si="0"/>
        <v>0.40384615384615385</v>
      </c>
      <c r="H9">
        <f t="shared" si="1"/>
        <v>0.15076923076923077</v>
      </c>
      <c r="I9">
        <f t="shared" si="2"/>
        <v>0.15923076923076923</v>
      </c>
    </row>
    <row r="10" spans="1:9" x14ac:dyDescent="0.2">
      <c r="A10">
        <v>32</v>
      </c>
      <c r="B10">
        <v>768</v>
      </c>
      <c r="C10" s="2">
        <v>10.61</v>
      </c>
      <c r="D10" s="2">
        <v>4.43</v>
      </c>
      <c r="E10" s="2">
        <v>3.84</v>
      </c>
      <c r="F10" s="2">
        <v>15</v>
      </c>
      <c r="G10">
        <f t="shared" si="0"/>
        <v>0.70733333333333326</v>
      </c>
      <c r="H10">
        <f t="shared" si="1"/>
        <v>0.29533333333333334</v>
      </c>
      <c r="I10">
        <f t="shared" si="2"/>
        <v>0.25600000000000001</v>
      </c>
    </row>
    <row r="11" spans="1:9" x14ac:dyDescent="0.2">
      <c r="A11">
        <v>47</v>
      </c>
      <c r="B11">
        <v>1128</v>
      </c>
      <c r="C11" s="2">
        <v>20.149999999999999</v>
      </c>
      <c r="D11" s="2">
        <v>9.57</v>
      </c>
      <c r="E11" s="2">
        <v>6.36</v>
      </c>
      <c r="F11" s="2">
        <v>16</v>
      </c>
      <c r="G11">
        <f t="shared" si="0"/>
        <v>1.2593749999999999</v>
      </c>
      <c r="H11">
        <f t="shared" si="1"/>
        <v>0.59812500000000002</v>
      </c>
      <c r="I11">
        <f t="shared" si="2"/>
        <v>0.39750000000000002</v>
      </c>
    </row>
    <row r="12" spans="1:9" x14ac:dyDescent="0.2">
      <c r="A12">
        <v>76</v>
      </c>
      <c r="B12">
        <v>1824</v>
      </c>
      <c r="C12" s="2">
        <v>47.41</v>
      </c>
      <c r="D12" s="2">
        <v>24.56</v>
      </c>
      <c r="E12" s="2">
        <v>12.65</v>
      </c>
      <c r="F12" s="2">
        <v>17</v>
      </c>
      <c r="G12">
        <f t="shared" si="0"/>
        <v>2.7888235294117645</v>
      </c>
      <c r="H12">
        <f t="shared" si="1"/>
        <v>1.4447058823529411</v>
      </c>
      <c r="I12">
        <f t="shared" si="2"/>
        <v>0.74411764705882355</v>
      </c>
    </row>
    <row r="13" spans="1:9" x14ac:dyDescent="0.2">
      <c r="A13">
        <v>100</v>
      </c>
      <c r="B13">
        <v>2400</v>
      </c>
      <c r="C13" s="2">
        <v>74.5</v>
      </c>
      <c r="D13" s="2">
        <v>43.29</v>
      </c>
      <c r="E13" s="2">
        <v>16.36</v>
      </c>
      <c r="F13" s="2">
        <v>16</v>
      </c>
      <c r="G13">
        <f t="shared" si="0"/>
        <v>4.65625</v>
      </c>
      <c r="H13">
        <f t="shared" si="1"/>
        <v>2.7056249999999999</v>
      </c>
      <c r="I13">
        <f t="shared" si="2"/>
        <v>1.0225</v>
      </c>
    </row>
    <row r="14" spans="1:9" x14ac:dyDescent="0.2">
      <c r="A14">
        <v>139</v>
      </c>
      <c r="B14">
        <v>3336</v>
      </c>
      <c r="C14" s="2">
        <v>132.19999999999999</v>
      </c>
      <c r="D14" s="2">
        <v>85.39</v>
      </c>
      <c r="E14" s="2">
        <v>21.96</v>
      </c>
      <c r="F14" s="2">
        <v>14</v>
      </c>
      <c r="G14">
        <f t="shared" si="0"/>
        <v>9.4428571428571413</v>
      </c>
      <c r="H14">
        <f t="shared" si="1"/>
        <v>6.0992857142857142</v>
      </c>
      <c r="I14">
        <f t="shared" si="2"/>
        <v>1.5685714285714287</v>
      </c>
    </row>
    <row r="16" spans="1:9" x14ac:dyDescent="0.2">
      <c r="A16" s="1" t="s">
        <v>19</v>
      </c>
    </row>
    <row r="17" spans="1:9" x14ac:dyDescent="0.2">
      <c r="A17" s="1" t="s">
        <v>17</v>
      </c>
    </row>
    <row r="18" spans="1:9" x14ac:dyDescent="0.2">
      <c r="A18" s="1" t="s">
        <v>3</v>
      </c>
      <c r="B18" s="1" t="s">
        <v>4</v>
      </c>
      <c r="C18" s="1" t="s">
        <v>5</v>
      </c>
      <c r="D18" s="1" t="s">
        <v>6</v>
      </c>
      <c r="E18" s="1" t="s">
        <v>7</v>
      </c>
      <c r="F18" s="1" t="s">
        <v>8</v>
      </c>
      <c r="G18" s="1" t="s">
        <v>9</v>
      </c>
      <c r="H18" s="1" t="s">
        <v>10</v>
      </c>
      <c r="I18" s="1" t="s">
        <v>11</v>
      </c>
    </row>
    <row r="19" spans="1:9" x14ac:dyDescent="0.2">
      <c r="A19" s="3">
        <v>1</v>
      </c>
      <c r="C19" s="3"/>
      <c r="D19" s="3"/>
      <c r="E19" s="3"/>
      <c r="F19" s="3"/>
      <c r="G19" s="3"/>
      <c r="H19" s="3"/>
      <c r="I19" s="3"/>
    </row>
    <row r="20" spans="1:9" x14ac:dyDescent="0.2">
      <c r="A20" s="3">
        <v>5</v>
      </c>
      <c r="B20">
        <v>120</v>
      </c>
      <c r="C20" s="2">
        <v>2.63</v>
      </c>
      <c r="D20" s="2">
        <v>0.68</v>
      </c>
      <c r="E20" s="2">
        <v>0.98</v>
      </c>
      <c r="F20" s="2">
        <v>10</v>
      </c>
      <c r="G20" s="3">
        <f>C20/$F20</f>
        <v>0.26300000000000001</v>
      </c>
      <c r="H20" s="3">
        <f t="shared" ref="H20:I27" si="3">D20/$F20</f>
        <v>6.8000000000000005E-2</v>
      </c>
      <c r="I20" s="3">
        <f t="shared" si="3"/>
        <v>9.8000000000000004E-2</v>
      </c>
    </row>
    <row r="21" spans="1:9" x14ac:dyDescent="0.2">
      <c r="A21" s="3">
        <v>10</v>
      </c>
      <c r="B21">
        <v>240</v>
      </c>
      <c r="C21" s="2">
        <v>8.35</v>
      </c>
      <c r="D21" s="2">
        <v>2.2799999999999998</v>
      </c>
      <c r="E21" s="2">
        <v>4.0599999999999996</v>
      </c>
      <c r="F21" s="2">
        <v>13</v>
      </c>
      <c r="G21" s="3">
        <f t="shared" ref="G21:G27" si="4">C21/$F21</f>
        <v>0.64230769230769225</v>
      </c>
      <c r="H21" s="3">
        <f t="shared" si="3"/>
        <v>0.17538461538461536</v>
      </c>
      <c r="I21" s="3">
        <f t="shared" si="3"/>
        <v>0.31230769230769229</v>
      </c>
    </row>
    <row r="22" spans="1:9" x14ac:dyDescent="0.2">
      <c r="A22" s="3">
        <v>20</v>
      </c>
      <c r="B22">
        <v>480</v>
      </c>
      <c r="C22" s="2">
        <v>29.57</v>
      </c>
      <c r="D22" s="2">
        <v>10.67</v>
      </c>
      <c r="E22" s="2">
        <v>12.16</v>
      </c>
      <c r="F22" s="2">
        <v>13</v>
      </c>
      <c r="G22" s="3">
        <f t="shared" si="4"/>
        <v>2.2746153846153847</v>
      </c>
      <c r="H22" s="3">
        <f t="shared" si="3"/>
        <v>0.82076923076923081</v>
      </c>
      <c r="I22" s="3">
        <f t="shared" si="3"/>
        <v>0.93538461538461537</v>
      </c>
    </row>
    <row r="23" spans="1:9" x14ac:dyDescent="0.2">
      <c r="A23" s="3">
        <v>32</v>
      </c>
      <c r="B23">
        <v>768</v>
      </c>
      <c r="C23" s="2">
        <v>77.77</v>
      </c>
      <c r="D23" s="2">
        <v>29.71</v>
      </c>
      <c r="E23" s="2">
        <v>29.46</v>
      </c>
      <c r="F23" s="2">
        <v>15</v>
      </c>
      <c r="G23" s="3">
        <f t="shared" si="4"/>
        <v>5.1846666666666668</v>
      </c>
      <c r="H23" s="3">
        <f t="shared" si="3"/>
        <v>1.9806666666666668</v>
      </c>
      <c r="I23" s="3">
        <f t="shared" si="3"/>
        <v>1.964</v>
      </c>
    </row>
    <row r="24" spans="1:9" x14ac:dyDescent="0.2">
      <c r="A24" s="3">
        <v>47</v>
      </c>
      <c r="B24">
        <v>1128</v>
      </c>
      <c r="C24" s="2">
        <v>177.3</v>
      </c>
      <c r="D24" s="2">
        <v>70.86</v>
      </c>
      <c r="E24" s="2">
        <v>60.62</v>
      </c>
      <c r="F24" s="2">
        <v>16</v>
      </c>
      <c r="G24" s="3">
        <f t="shared" si="4"/>
        <v>11.081250000000001</v>
      </c>
      <c r="H24" s="3">
        <f t="shared" si="3"/>
        <v>4.42875</v>
      </c>
      <c r="I24" s="3">
        <f t="shared" si="3"/>
        <v>3.7887499999999998</v>
      </c>
    </row>
    <row r="25" spans="1:9" x14ac:dyDescent="0.2">
      <c r="A25" s="3">
        <v>76</v>
      </c>
      <c r="B25">
        <v>1824</v>
      </c>
      <c r="C25" s="2">
        <v>484.97</v>
      </c>
      <c r="D25" s="2">
        <v>187.35</v>
      </c>
      <c r="E25" s="2">
        <v>152.31</v>
      </c>
      <c r="F25" s="2">
        <v>17</v>
      </c>
      <c r="G25" s="3">
        <f t="shared" si="4"/>
        <v>28.527647058823533</v>
      </c>
      <c r="H25" s="3">
        <f t="shared" si="3"/>
        <v>11.020588235294117</v>
      </c>
      <c r="I25" s="3">
        <f t="shared" si="3"/>
        <v>8.959411764705882</v>
      </c>
    </row>
    <row r="26" spans="1:9" x14ac:dyDescent="0.2">
      <c r="A26" s="3">
        <v>100</v>
      </c>
      <c r="B26">
        <v>2400</v>
      </c>
      <c r="C26" s="2">
        <v>836.5</v>
      </c>
      <c r="D26" s="2">
        <v>364.33</v>
      </c>
      <c r="E26" s="2">
        <v>203.48</v>
      </c>
      <c r="F26" s="2">
        <v>16</v>
      </c>
      <c r="G26" s="3">
        <f t="shared" si="4"/>
        <v>52.28125</v>
      </c>
      <c r="H26" s="3">
        <f t="shared" si="3"/>
        <v>22.770624999999999</v>
      </c>
      <c r="I26" s="3">
        <f t="shared" si="3"/>
        <v>12.717499999999999</v>
      </c>
    </row>
    <row r="27" spans="1:9" x14ac:dyDescent="0.2">
      <c r="A27" s="3">
        <v>139</v>
      </c>
      <c r="B27">
        <v>3336</v>
      </c>
      <c r="C27" s="2">
        <v>1550.15</v>
      </c>
      <c r="D27" s="2">
        <v>713.9</v>
      </c>
      <c r="E27" s="2">
        <v>298.32</v>
      </c>
      <c r="F27" s="2">
        <v>14</v>
      </c>
      <c r="G27" s="3">
        <f t="shared" si="4"/>
        <v>110.72500000000001</v>
      </c>
      <c r="H27" s="3">
        <f t="shared" si="3"/>
        <v>50.99285714285714</v>
      </c>
      <c r="I27" s="3">
        <f t="shared" si="3"/>
        <v>21.30857142857143</v>
      </c>
    </row>
    <row r="29" spans="1:9" x14ac:dyDescent="0.2">
      <c r="A29" s="1" t="s">
        <v>19</v>
      </c>
    </row>
    <row r="30" spans="1:9" x14ac:dyDescent="0.2">
      <c r="A30" s="1" t="s">
        <v>18</v>
      </c>
    </row>
    <row r="31" spans="1:9" x14ac:dyDescent="0.2">
      <c r="A31" s="1" t="s">
        <v>3</v>
      </c>
      <c r="B31" s="1" t="s">
        <v>4</v>
      </c>
      <c r="C31" s="1" t="s">
        <v>5</v>
      </c>
      <c r="D31" s="1" t="s">
        <v>6</v>
      </c>
      <c r="E31" s="1" t="s">
        <v>7</v>
      </c>
      <c r="F31" s="1" t="s">
        <v>8</v>
      </c>
      <c r="G31" s="1" t="s">
        <v>9</v>
      </c>
      <c r="H31" s="1" t="s">
        <v>10</v>
      </c>
      <c r="I31" s="1" t="s">
        <v>11</v>
      </c>
    </row>
    <row r="32" spans="1:9" x14ac:dyDescent="0.2">
      <c r="A32" s="3">
        <v>1</v>
      </c>
      <c r="C32" s="3"/>
      <c r="D32" s="3"/>
      <c r="E32" s="3"/>
      <c r="F32" s="3"/>
      <c r="G32" s="3"/>
      <c r="H32" s="3"/>
      <c r="I32" s="3"/>
    </row>
    <row r="33" spans="1:9" x14ac:dyDescent="0.2">
      <c r="A33" s="3">
        <v>5</v>
      </c>
      <c r="B33">
        <v>120</v>
      </c>
      <c r="C33" s="2"/>
      <c r="D33" s="2"/>
      <c r="E33" s="2"/>
      <c r="F33" s="2"/>
      <c r="G33" s="3"/>
      <c r="H33" s="3"/>
      <c r="I33" s="3"/>
    </row>
    <row r="34" spans="1:9" x14ac:dyDescent="0.2">
      <c r="A34" s="3">
        <v>10</v>
      </c>
      <c r="B34">
        <v>240</v>
      </c>
      <c r="C34" s="2">
        <v>6.14</v>
      </c>
      <c r="D34" s="2">
        <v>0.69</v>
      </c>
      <c r="E34" s="2">
        <v>3.32</v>
      </c>
      <c r="F34" s="2">
        <v>13</v>
      </c>
      <c r="G34" s="3">
        <f t="shared" ref="G34:G40" si="5">C34/$F34</f>
        <v>0.47230769230769226</v>
      </c>
      <c r="H34" s="3">
        <f t="shared" ref="H34:H40" si="6">D34/$F34</f>
        <v>5.307692307692307E-2</v>
      </c>
      <c r="I34" s="3">
        <f t="shared" ref="I34:I40" si="7">E34/$F34</f>
        <v>0.25538461538461538</v>
      </c>
    </row>
    <row r="35" spans="1:9" x14ac:dyDescent="0.2">
      <c r="A35" s="3">
        <v>20</v>
      </c>
      <c r="B35">
        <v>480</v>
      </c>
      <c r="C35" s="2">
        <v>13.62</v>
      </c>
      <c r="D35" s="2">
        <v>2.37</v>
      </c>
      <c r="E35" s="2">
        <v>7.25</v>
      </c>
      <c r="F35" s="2">
        <v>13</v>
      </c>
      <c r="G35" s="3">
        <f t="shared" si="5"/>
        <v>1.0476923076923077</v>
      </c>
      <c r="H35" s="3">
        <f t="shared" si="6"/>
        <v>0.18230769230769231</v>
      </c>
      <c r="I35" s="3">
        <f t="shared" si="7"/>
        <v>0.55769230769230771</v>
      </c>
    </row>
    <row r="36" spans="1:9" x14ac:dyDescent="0.2">
      <c r="A36" s="3">
        <v>32</v>
      </c>
      <c r="B36">
        <v>768</v>
      </c>
      <c r="C36" s="2">
        <v>29.76</v>
      </c>
      <c r="D36" s="2">
        <v>7.07</v>
      </c>
      <c r="E36" s="2">
        <v>12.76</v>
      </c>
      <c r="F36" s="2">
        <v>15</v>
      </c>
      <c r="G36" s="3">
        <f t="shared" si="5"/>
        <v>1.9840000000000002</v>
      </c>
      <c r="H36" s="3">
        <f t="shared" si="6"/>
        <v>0.47133333333333333</v>
      </c>
      <c r="I36" s="3">
        <f t="shared" si="7"/>
        <v>0.85066666666666668</v>
      </c>
    </row>
    <row r="37" spans="1:9" x14ac:dyDescent="0.2">
      <c r="A37" s="3">
        <v>47</v>
      </c>
      <c r="B37">
        <v>1128</v>
      </c>
      <c r="C37" s="2">
        <v>58.86</v>
      </c>
      <c r="D37" s="2">
        <v>17.34</v>
      </c>
      <c r="E37" s="2">
        <v>20.74</v>
      </c>
      <c r="F37" s="2">
        <v>16</v>
      </c>
      <c r="G37" s="3">
        <f t="shared" si="5"/>
        <v>3.67875</v>
      </c>
      <c r="H37" s="3">
        <f t="shared" si="6"/>
        <v>1.08375</v>
      </c>
      <c r="I37" s="3">
        <f t="shared" si="7"/>
        <v>1.2962499999999999</v>
      </c>
    </row>
    <row r="38" spans="1:9" x14ac:dyDescent="0.2">
      <c r="A38" s="3">
        <v>76</v>
      </c>
      <c r="B38">
        <v>1824</v>
      </c>
      <c r="C38" s="2">
        <v>152.24</v>
      </c>
      <c r="D38" s="2">
        <v>51.22</v>
      </c>
      <c r="E38" s="2">
        <v>41.38</v>
      </c>
      <c r="F38" s="2">
        <v>17</v>
      </c>
      <c r="G38" s="3">
        <f t="shared" si="5"/>
        <v>8.9552941176470586</v>
      </c>
      <c r="H38" s="3">
        <f t="shared" si="6"/>
        <v>3.012941176470588</v>
      </c>
      <c r="I38" s="3">
        <f t="shared" si="7"/>
        <v>2.4341176470588235</v>
      </c>
    </row>
    <row r="39" spans="1:9" x14ac:dyDescent="0.2">
      <c r="A39" s="3">
        <v>100</v>
      </c>
      <c r="B39">
        <v>2400</v>
      </c>
      <c r="C39" s="2">
        <v>230.54</v>
      </c>
      <c r="D39" s="2">
        <v>67.290000000000006</v>
      </c>
      <c r="E39" s="2">
        <v>60.2</v>
      </c>
      <c r="F39" s="2">
        <v>16</v>
      </c>
      <c r="G39" s="3">
        <f t="shared" si="5"/>
        <v>14.40875</v>
      </c>
      <c r="H39" s="3">
        <f t="shared" si="6"/>
        <v>4.2056250000000004</v>
      </c>
      <c r="I39" s="3">
        <f t="shared" si="7"/>
        <v>3.7625000000000002</v>
      </c>
    </row>
    <row r="40" spans="1:9" x14ac:dyDescent="0.2">
      <c r="A40" s="3">
        <v>139</v>
      </c>
      <c r="B40">
        <v>3336</v>
      </c>
      <c r="C40" s="2">
        <v>403.04</v>
      </c>
      <c r="D40" s="2">
        <v>119.59</v>
      </c>
      <c r="E40" s="2">
        <v>90.46</v>
      </c>
      <c r="F40" s="2">
        <v>14</v>
      </c>
      <c r="G40" s="3">
        <f t="shared" si="5"/>
        <v>28.78857142857143</v>
      </c>
      <c r="H40" s="3">
        <f t="shared" si="6"/>
        <v>8.5421428571428581</v>
      </c>
      <c r="I40" s="3">
        <f t="shared" si="7"/>
        <v>6.4614285714285709</v>
      </c>
    </row>
    <row r="43" spans="1:9" x14ac:dyDescent="0.2">
      <c r="A43" s="1" t="s">
        <v>20</v>
      </c>
    </row>
    <row r="44" spans="1:9" x14ac:dyDescent="0.2">
      <c r="A44" s="1" t="s">
        <v>17</v>
      </c>
    </row>
    <row r="45" spans="1:9" x14ac:dyDescent="0.2">
      <c r="A45" s="1" t="s">
        <v>3</v>
      </c>
      <c r="B45" s="1" t="s">
        <v>4</v>
      </c>
      <c r="C45" s="1" t="s">
        <v>5</v>
      </c>
      <c r="D45" s="1" t="s">
        <v>21</v>
      </c>
      <c r="E45" s="1" t="s">
        <v>22</v>
      </c>
      <c r="F45" s="1" t="s">
        <v>8</v>
      </c>
      <c r="G45" s="1" t="s">
        <v>9</v>
      </c>
      <c r="H45" s="1"/>
      <c r="I45" s="1"/>
    </row>
    <row r="46" spans="1:9" x14ac:dyDescent="0.2">
      <c r="A46" s="3">
        <v>1</v>
      </c>
      <c r="C46" s="3"/>
      <c r="D46" s="3"/>
      <c r="E46" s="3"/>
      <c r="F46" s="3"/>
      <c r="G46" s="3"/>
      <c r="H46" s="3"/>
      <c r="I46" s="3"/>
    </row>
    <row r="47" spans="1:9" x14ac:dyDescent="0.2">
      <c r="A47" s="3">
        <v>5</v>
      </c>
      <c r="B47">
        <v>120</v>
      </c>
      <c r="D47" s="2"/>
      <c r="E47" s="2"/>
      <c r="G47" s="3"/>
      <c r="H47" s="3"/>
      <c r="I47" s="3"/>
    </row>
    <row r="48" spans="1:9" x14ac:dyDescent="0.2">
      <c r="A48" s="3">
        <v>10</v>
      </c>
      <c r="B48">
        <v>240</v>
      </c>
      <c r="C48" s="2">
        <v>16.036005578003799</v>
      </c>
      <c r="D48" s="4">
        <v>0.83</v>
      </c>
      <c r="E48" s="2">
        <f t="shared" ref="E48:E54" si="8">C48-D48</f>
        <v>15.206005578003799</v>
      </c>
      <c r="F48" s="2">
        <v>12</v>
      </c>
      <c r="G48" s="3">
        <f>E48/$F48</f>
        <v>1.2671671315003166</v>
      </c>
      <c r="H48" s="3"/>
      <c r="I48" s="3"/>
    </row>
    <row r="49" spans="1:9" x14ac:dyDescent="0.2">
      <c r="A49" s="3">
        <v>20</v>
      </c>
      <c r="B49">
        <v>480</v>
      </c>
      <c r="C49" s="2">
        <v>75.564415230008294</v>
      </c>
      <c r="D49" s="4">
        <v>3.34</v>
      </c>
      <c r="E49" s="2">
        <f t="shared" si="8"/>
        <v>72.22441523000829</v>
      </c>
      <c r="F49" s="2">
        <v>15</v>
      </c>
      <c r="G49" s="3">
        <f t="shared" ref="G49:G54" si="9">E49/$F49</f>
        <v>4.8149610153338864</v>
      </c>
      <c r="H49" s="3"/>
      <c r="I49" s="3"/>
    </row>
    <row r="50" spans="1:9" x14ac:dyDescent="0.2">
      <c r="A50" s="3">
        <v>32</v>
      </c>
      <c r="B50">
        <v>768</v>
      </c>
      <c r="C50" s="2">
        <v>185.093209467013</v>
      </c>
      <c r="D50" s="4">
        <v>9.19</v>
      </c>
      <c r="E50" s="2">
        <f t="shared" si="8"/>
        <v>175.903209467013</v>
      </c>
      <c r="F50" s="2">
        <v>15</v>
      </c>
      <c r="G50" s="3">
        <f t="shared" si="9"/>
        <v>11.7268806311342</v>
      </c>
      <c r="H50" s="3"/>
      <c r="I50" s="3"/>
    </row>
    <row r="51" spans="1:9" x14ac:dyDescent="0.2">
      <c r="A51" s="3">
        <v>47</v>
      </c>
      <c r="B51">
        <v>1128</v>
      </c>
      <c r="C51" s="2">
        <v>383.57993331502001</v>
      </c>
      <c r="D51" s="4">
        <v>22.52</v>
      </c>
      <c r="E51" s="2">
        <f>C51-D51</f>
        <v>361.05993331502003</v>
      </c>
      <c r="F51" s="2">
        <v>15</v>
      </c>
      <c r="G51" s="3">
        <f t="shared" si="9"/>
        <v>24.070662221001335</v>
      </c>
      <c r="H51" s="3"/>
      <c r="I51" s="3"/>
    </row>
    <row r="52" spans="1:9" x14ac:dyDescent="0.2">
      <c r="A52" s="3">
        <v>76</v>
      </c>
      <c r="B52">
        <v>1824</v>
      </c>
      <c r="C52" s="2">
        <v>1018.329558144</v>
      </c>
      <c r="D52" s="4">
        <v>79.13</v>
      </c>
      <c r="E52" s="2">
        <f t="shared" si="8"/>
        <v>939.19955814399998</v>
      </c>
      <c r="F52" s="2">
        <v>15</v>
      </c>
      <c r="G52" s="3">
        <f t="shared" si="9"/>
        <v>62.613303876266663</v>
      </c>
      <c r="H52" s="3"/>
      <c r="I52" s="3"/>
    </row>
    <row r="53" spans="1:9" x14ac:dyDescent="0.2">
      <c r="A53" s="3">
        <v>100</v>
      </c>
      <c r="B53">
        <v>2400</v>
      </c>
      <c r="C53" s="2">
        <v>2269.11304578199</v>
      </c>
      <c r="D53" s="4">
        <v>167.72</v>
      </c>
      <c r="E53" s="2">
        <f t="shared" si="8"/>
        <v>2101.3930457819902</v>
      </c>
      <c r="F53" s="2">
        <v>18</v>
      </c>
      <c r="G53" s="3">
        <f t="shared" si="9"/>
        <v>116.74405809899946</v>
      </c>
      <c r="H53" s="3"/>
      <c r="I53" s="3"/>
    </row>
    <row r="54" spans="1:9" x14ac:dyDescent="0.2">
      <c r="A54" s="3">
        <v>139</v>
      </c>
      <c r="B54">
        <v>3336</v>
      </c>
      <c r="C54" s="2">
        <v>3856.7203670029899</v>
      </c>
      <c r="D54" s="4">
        <v>424.55</v>
      </c>
      <c r="E54" s="2">
        <f t="shared" si="8"/>
        <v>3432.1703670029897</v>
      </c>
      <c r="F54" s="2">
        <v>15</v>
      </c>
      <c r="G54" s="3">
        <f t="shared" si="9"/>
        <v>228.81135780019932</v>
      </c>
      <c r="H54" s="3"/>
      <c r="I54" s="3"/>
    </row>
    <row r="56" spans="1:9" x14ac:dyDescent="0.2">
      <c r="A56" s="1" t="s">
        <v>20</v>
      </c>
    </row>
    <row r="57" spans="1:9" x14ac:dyDescent="0.2">
      <c r="A57" s="1" t="s">
        <v>18</v>
      </c>
    </row>
    <row r="58" spans="1:9" x14ac:dyDescent="0.2">
      <c r="A58" s="1" t="s">
        <v>3</v>
      </c>
      <c r="B58" s="1" t="s">
        <v>4</v>
      </c>
      <c r="C58" s="1" t="s">
        <v>5</v>
      </c>
      <c r="D58" s="1" t="s">
        <v>21</v>
      </c>
      <c r="E58" s="1" t="s">
        <v>22</v>
      </c>
      <c r="F58" s="1" t="s">
        <v>8</v>
      </c>
      <c r="G58" s="1" t="s">
        <v>9</v>
      </c>
      <c r="H58" s="1"/>
      <c r="I58" s="1"/>
    </row>
    <row r="59" spans="1:9" x14ac:dyDescent="0.2">
      <c r="A59" s="3">
        <v>1</v>
      </c>
      <c r="C59" s="3"/>
      <c r="D59" s="3"/>
      <c r="E59" s="3"/>
      <c r="F59" s="3"/>
      <c r="G59" s="3"/>
      <c r="H59" s="3"/>
      <c r="I59" s="3"/>
    </row>
    <row r="60" spans="1:9" x14ac:dyDescent="0.2">
      <c r="A60" s="3">
        <v>5</v>
      </c>
      <c r="B60">
        <v>120</v>
      </c>
      <c r="C60" s="2"/>
      <c r="D60" s="2"/>
      <c r="E60" s="2"/>
      <c r="F60" s="2"/>
      <c r="G60" s="3"/>
      <c r="H60" s="3"/>
      <c r="I60" s="3"/>
    </row>
    <row r="61" spans="1:9" x14ac:dyDescent="0.2">
      <c r="A61" s="3">
        <v>10</v>
      </c>
      <c r="B61">
        <v>240</v>
      </c>
      <c r="C61" s="2">
        <v>6.6409583720378498</v>
      </c>
      <c r="D61" s="2">
        <v>0.4</v>
      </c>
      <c r="E61" s="2">
        <f>C61-D61</f>
        <v>6.2409583720378494</v>
      </c>
      <c r="F61" s="2">
        <v>12</v>
      </c>
      <c r="G61" s="3">
        <f>C61/$F61</f>
        <v>0.55341319766982078</v>
      </c>
      <c r="H61" s="3"/>
      <c r="I61" s="3"/>
    </row>
    <row r="62" spans="1:9" x14ac:dyDescent="0.2">
      <c r="A62" s="3">
        <v>20</v>
      </c>
      <c r="B62">
        <v>480</v>
      </c>
      <c r="C62" s="2">
        <v>27.854180095950099</v>
      </c>
      <c r="D62" s="2">
        <v>1.21</v>
      </c>
      <c r="E62" s="2">
        <f t="shared" ref="E62:E66" si="10">C62-D62</f>
        <v>26.644180095950098</v>
      </c>
      <c r="F62" s="2">
        <v>15</v>
      </c>
      <c r="G62" s="3">
        <f t="shared" ref="G62:G67" si="11">C62/$F62</f>
        <v>1.8569453397300066</v>
      </c>
      <c r="H62" s="3"/>
      <c r="I62" s="3"/>
    </row>
    <row r="63" spans="1:9" x14ac:dyDescent="0.2">
      <c r="A63" s="3">
        <v>32</v>
      </c>
      <c r="B63">
        <v>768</v>
      </c>
      <c r="C63" s="2">
        <v>45.117813314893198</v>
      </c>
      <c r="D63" s="2">
        <v>2.62</v>
      </c>
      <c r="E63" s="2">
        <f t="shared" si="10"/>
        <v>42.4978133148932</v>
      </c>
      <c r="F63" s="2">
        <v>15</v>
      </c>
      <c r="G63" s="3">
        <f t="shared" si="11"/>
        <v>3.00785422099288</v>
      </c>
      <c r="H63" s="3"/>
      <c r="I63" s="3"/>
    </row>
    <row r="64" spans="1:9" x14ac:dyDescent="0.2">
      <c r="A64" s="3">
        <v>47</v>
      </c>
      <c r="B64">
        <v>1128</v>
      </c>
      <c r="C64" s="2">
        <v>79.639858498936505</v>
      </c>
      <c r="D64" s="2">
        <v>6.21</v>
      </c>
      <c r="E64" s="2">
        <f t="shared" si="10"/>
        <v>73.429858498936511</v>
      </c>
      <c r="F64" s="2">
        <v>15</v>
      </c>
      <c r="G64" s="3">
        <f t="shared" si="11"/>
        <v>5.3093238999291001</v>
      </c>
      <c r="H64" s="3"/>
      <c r="I64" s="3"/>
    </row>
    <row r="65" spans="1:9" x14ac:dyDescent="0.2">
      <c r="A65" s="3">
        <v>76</v>
      </c>
      <c r="B65">
        <v>1824</v>
      </c>
      <c r="C65" s="2">
        <v>193.031947857001</v>
      </c>
      <c r="D65" s="2">
        <v>19.239999999999998</v>
      </c>
      <c r="E65" s="2">
        <f t="shared" si="10"/>
        <v>173.79194785700099</v>
      </c>
      <c r="F65" s="2">
        <v>15</v>
      </c>
      <c r="G65" s="3">
        <f t="shared" si="11"/>
        <v>12.868796523800066</v>
      </c>
      <c r="H65" s="3"/>
      <c r="I65" s="3"/>
    </row>
    <row r="66" spans="1:9" x14ac:dyDescent="0.2">
      <c r="A66" s="3">
        <v>100</v>
      </c>
      <c r="B66">
        <v>2400</v>
      </c>
      <c r="C66" s="2">
        <v>417.932956116041</v>
      </c>
      <c r="D66" s="2">
        <v>39.72</v>
      </c>
      <c r="E66" s="2">
        <f t="shared" si="10"/>
        <v>378.21295611604103</v>
      </c>
      <c r="F66" s="2">
        <v>18</v>
      </c>
      <c r="G66" s="3">
        <f t="shared" si="11"/>
        <v>23.218497562002277</v>
      </c>
      <c r="H66" s="3"/>
      <c r="I66" s="3"/>
    </row>
    <row r="67" spans="1:9" x14ac:dyDescent="0.2">
      <c r="A67" s="3">
        <v>139</v>
      </c>
      <c r="B67">
        <v>3336</v>
      </c>
      <c r="C67" s="2">
        <v>681.56127504497999</v>
      </c>
      <c r="D67" s="2">
        <v>95.43</v>
      </c>
      <c r="E67" s="2">
        <f>C67-D67</f>
        <v>586.13127504497993</v>
      </c>
      <c r="F67" s="2">
        <v>15</v>
      </c>
      <c r="G67" s="3">
        <f t="shared" si="11"/>
        <v>45.437418336332001</v>
      </c>
      <c r="H67" s="3"/>
      <c r="I67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Manas Sharma</dc:creator>
  <cp:lastModifiedBy>Manas Sharma</cp:lastModifiedBy>
  <dcterms:created xsi:type="dcterms:W3CDTF">2025-08-15T12:19:05Z</dcterms:created>
  <dcterms:modified xsi:type="dcterms:W3CDTF">2026-05-16T03:14:10Z</dcterms:modified>
</cp:coreProperties>
</file>