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s/Documents/PyFock/benchmarks_tests/FINAL_Benchmarks_for_paper/"/>
    </mc:Choice>
  </mc:AlternateContent>
  <xr:revisionPtr revIDLastSave="0" documentId="13_ncr:1_{B761756E-F1C9-704A-8187-AC6943783E84}" xr6:coauthVersionLast="47" xr6:coauthVersionMax="47" xr10:uidLastSave="{00000000-0000-0000-0000-000000000000}"/>
  <bookViews>
    <workbookView xWindow="1360" yWindow="760" windowWidth="28040" windowHeight="16800" xr2:uid="{580CF0B2-FD39-1547-AD8E-82680C382266}"/>
  </bookViews>
  <sheets>
    <sheet name="def2-SVP" sheetId="1" r:id="rId1"/>
    <sheet name="def2-TZV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2" l="1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7" i="1"/>
  <c r="I8" i="1"/>
  <c r="I9" i="1"/>
  <c r="I10" i="1"/>
  <c r="I11" i="1"/>
  <c r="I12" i="1"/>
  <c r="I13" i="1"/>
  <c r="I14" i="1"/>
  <c r="H7" i="1"/>
  <c r="H8" i="1"/>
  <c r="H9" i="1"/>
  <c r="H10" i="1"/>
  <c r="H11" i="1"/>
  <c r="H12" i="1"/>
  <c r="H13" i="1"/>
  <c r="H14" i="1"/>
  <c r="G7" i="1"/>
  <c r="G8" i="1"/>
  <c r="G9" i="1"/>
  <c r="G10" i="1"/>
  <c r="G11" i="1"/>
  <c r="G12" i="1"/>
  <c r="G13" i="1"/>
  <c r="G14" i="1"/>
</calcChain>
</file>

<file path=xl/sharedStrings.xml><?xml version="1.0" encoding="utf-8"?>
<sst xmlns="http://schemas.openxmlformats.org/spreadsheetml/2006/main" count="42" uniqueCount="13">
  <si>
    <t>Scaling behavior</t>
  </si>
  <si>
    <t>CPU PyFock</t>
  </si>
  <si>
    <t>3D water clusters</t>
  </si>
  <si>
    <t>No. of water molecules</t>
  </si>
  <si>
    <t>No. of basis functions</t>
  </si>
  <si>
    <t>Total Time Taken (s)</t>
  </si>
  <si>
    <t>J time (s)</t>
  </si>
  <si>
    <t>XC (s)</t>
  </si>
  <si>
    <t>Total Time Taken (s) / iter</t>
  </si>
  <si>
    <t>J time (s) / iter</t>
  </si>
  <si>
    <t>XC (s) / iter</t>
  </si>
  <si>
    <t>Iterations</t>
  </si>
  <si>
    <t>All calculations on 4 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</si>
</sst>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Scaling behavior of KS-DFT</a:t>
            </a:r>
            <a:r>
              <a:rPr lang="en-GB" baseline="0"/>
              <a:t> Calculations using PyFock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'def2-SVP'!$B$18</c:f>
              <c:strCache>
                <c:ptCount val="1"/>
                <c:pt idx="0">
                  <c:v>Total Time Taken (s) / iter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'def2-SVP'!$A$19:$A$26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32</c:v>
                </c:pt>
                <c:pt idx="4">
                  <c:v>47</c:v>
                </c:pt>
                <c:pt idx="5">
                  <c:v>76</c:v>
                </c:pt>
                <c:pt idx="6">
                  <c:v>100</c:v>
                </c:pt>
                <c:pt idx="7">
                  <c:v>139</c:v>
                </c:pt>
              </c:numCache>
            </c:numRef>
          </c:xVal>
          <c:yVal>
            <c:numRef>
              <c:f>'def2-SVP'!$B$19:$B$26</c:f>
              <c:numCache>
                <c:formatCode>General</c:formatCode>
                <c:ptCount val="8"/>
                <c:pt idx="0">
                  <c:v>0.26300000000000001</c:v>
                </c:pt>
                <c:pt idx="1">
                  <c:v>0.64230769230769225</c:v>
                </c:pt>
                <c:pt idx="2">
                  <c:v>2.2746153846153847</c:v>
                </c:pt>
                <c:pt idx="3">
                  <c:v>5.1846666666666668</c:v>
                </c:pt>
                <c:pt idx="4">
                  <c:v>11.081250000000001</c:v>
                </c:pt>
                <c:pt idx="5">
                  <c:v>28.527647058823533</c:v>
                </c:pt>
                <c:pt idx="6">
                  <c:v>52.28125</c:v>
                </c:pt>
                <c:pt idx="7">
                  <c:v>110.72500000000001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FE-AE49-9275-0B20C9913E70}"/>
            </c:ext>
          </c:extLst>
        </c:ser>
        <c:ser>
          <c:idx val="1"/>
          <c:order val="1"/>
          <c:tx>
            <c:strRef>
              <c:f>'def2-SVP'!$C$18</c:f>
              <c:strCache>
                <c:ptCount val="1"/>
                <c:pt idx="0">
                  <c:v>J time (s) / iter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'def2-SVP'!$A$19:$A$26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32</c:v>
                </c:pt>
                <c:pt idx="4">
                  <c:v>47</c:v>
                </c:pt>
                <c:pt idx="5">
                  <c:v>76</c:v>
                </c:pt>
                <c:pt idx="6">
                  <c:v>100</c:v>
                </c:pt>
                <c:pt idx="7">
                  <c:v>139</c:v>
                </c:pt>
              </c:numCache>
            </c:numRef>
          </c:xVal>
          <c:yVal>
            <c:numRef>
              <c:f>'def2-SVP'!$C$19:$C$26</c:f>
              <c:numCache>
                <c:formatCode>General</c:formatCode>
                <c:ptCount val="8"/>
                <c:pt idx="0">
                  <c:v>6.8000000000000005E-2</c:v>
                </c:pt>
                <c:pt idx="1">
                  <c:v>0.17538461538461536</c:v>
                </c:pt>
                <c:pt idx="2">
                  <c:v>0.82076923076923081</c:v>
                </c:pt>
                <c:pt idx="3">
                  <c:v>1.9806666666666668</c:v>
                </c:pt>
                <c:pt idx="4">
                  <c:v>4.42875</c:v>
                </c:pt>
                <c:pt idx="5">
                  <c:v>11.020588235294117</c:v>
                </c:pt>
                <c:pt idx="6">
                  <c:v>22.770624999999999</c:v>
                </c:pt>
                <c:pt idx="7">
                  <c:v>50.99285714285714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FE-AE49-9275-0B20C9913E70}"/>
            </c:ext>
          </c:extLst>
        </c:ser>
        <c:ser>
          <c:idx val="2"/>
          <c:order val="2"/>
          <c:tx>
            <c:strRef>
              <c:f>'def2-SVP'!$D$18</c:f>
              <c:strCache>
                <c:ptCount val="1"/>
                <c:pt idx="0">
                  <c:v>XC (s) / iter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'def2-SVP'!$A$19:$A$26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32</c:v>
                </c:pt>
                <c:pt idx="4">
                  <c:v>47</c:v>
                </c:pt>
                <c:pt idx="5">
                  <c:v>76</c:v>
                </c:pt>
                <c:pt idx="6">
                  <c:v>100</c:v>
                </c:pt>
                <c:pt idx="7">
                  <c:v>139</c:v>
                </c:pt>
              </c:numCache>
            </c:numRef>
          </c:xVal>
          <c:yVal>
            <c:numRef>
              <c:f>'def2-SVP'!$D$19:$D$26</c:f>
              <c:numCache>
                <c:formatCode>General</c:formatCode>
                <c:ptCount val="8"/>
                <c:pt idx="0">
                  <c:v>9.8000000000000004E-2</c:v>
                </c:pt>
                <c:pt idx="1">
                  <c:v>0.31230769230769229</c:v>
                </c:pt>
                <c:pt idx="2">
                  <c:v>0.93538461538461537</c:v>
                </c:pt>
                <c:pt idx="3">
                  <c:v>1.964</c:v>
                </c:pt>
                <c:pt idx="4">
                  <c:v>3.7887499999999998</c:v>
                </c:pt>
                <c:pt idx="5">
                  <c:v>8.959411764705882</c:v>
                </c:pt>
                <c:pt idx="6">
                  <c:v>12.717499999999999</c:v>
                </c:pt>
                <c:pt idx="7">
                  <c:v>21.30857142857143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FE-AE49-9275-0B20C9913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806720"/>
        <c:axId val="955075920"/>
      </c:scatterChart>
      <c:valAx>
        <c:axId val="214680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No. of Water Molecules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75920"/>
        <c:crosses val="autoZero"/>
        <c:crossBetween val="midCat"/>
      </c:valAx>
      <c:valAx>
        <c:axId val="95507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Wall Time  per Iteration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80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Scaling behavior of KS-DFT Calculations using PyFock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'def2-SVP'!$H$18</c:f>
              <c:strCache>
                <c:ptCount val="1"/>
                <c:pt idx="0">
                  <c:v>Total Time Taken (s) / iter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'def2-SVP'!$G$19:$G$26</c:f>
              <c:numCache>
                <c:formatCode>General</c:formatCode>
                <c:ptCount val="8"/>
                <c:pt idx="0">
                  <c:v>120</c:v>
                </c:pt>
                <c:pt idx="1">
                  <c:v>240</c:v>
                </c:pt>
                <c:pt idx="2">
                  <c:v>480</c:v>
                </c:pt>
                <c:pt idx="3">
                  <c:v>768</c:v>
                </c:pt>
                <c:pt idx="4">
                  <c:v>1128</c:v>
                </c:pt>
                <c:pt idx="5">
                  <c:v>1824</c:v>
                </c:pt>
                <c:pt idx="6">
                  <c:v>2400</c:v>
                </c:pt>
                <c:pt idx="7">
                  <c:v>3336</c:v>
                </c:pt>
              </c:numCache>
            </c:numRef>
          </c:xVal>
          <c:yVal>
            <c:numRef>
              <c:f>'def2-SVP'!$H$19:$H$26</c:f>
              <c:numCache>
                <c:formatCode>General</c:formatCode>
                <c:ptCount val="8"/>
                <c:pt idx="0">
                  <c:v>0.26300000000000001</c:v>
                </c:pt>
                <c:pt idx="1">
                  <c:v>0.64230769230769225</c:v>
                </c:pt>
                <c:pt idx="2">
                  <c:v>2.2746153846153847</c:v>
                </c:pt>
                <c:pt idx="3">
                  <c:v>5.1846666666666668</c:v>
                </c:pt>
                <c:pt idx="4">
                  <c:v>11.081250000000001</c:v>
                </c:pt>
                <c:pt idx="5">
                  <c:v>28.527647058823533</c:v>
                </c:pt>
                <c:pt idx="6">
                  <c:v>52.28125</c:v>
                </c:pt>
                <c:pt idx="7">
                  <c:v>110.72500000000001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26-7C4C-8466-D9C62B7BEA72}"/>
            </c:ext>
          </c:extLst>
        </c:ser>
        <c:ser>
          <c:idx val="1"/>
          <c:order val="1"/>
          <c:tx>
            <c:strRef>
              <c:f>'def2-SVP'!$I$18</c:f>
              <c:strCache>
                <c:ptCount val="1"/>
                <c:pt idx="0">
                  <c:v>J time (s) / iter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'def2-SVP'!$G$19:$G$26</c:f>
              <c:numCache>
                <c:formatCode>General</c:formatCode>
                <c:ptCount val="8"/>
                <c:pt idx="0">
                  <c:v>120</c:v>
                </c:pt>
                <c:pt idx="1">
                  <c:v>240</c:v>
                </c:pt>
                <c:pt idx="2">
                  <c:v>480</c:v>
                </c:pt>
                <c:pt idx="3">
                  <c:v>768</c:v>
                </c:pt>
                <c:pt idx="4">
                  <c:v>1128</c:v>
                </c:pt>
                <c:pt idx="5">
                  <c:v>1824</c:v>
                </c:pt>
                <c:pt idx="6">
                  <c:v>2400</c:v>
                </c:pt>
                <c:pt idx="7">
                  <c:v>3336</c:v>
                </c:pt>
              </c:numCache>
            </c:numRef>
          </c:xVal>
          <c:yVal>
            <c:numRef>
              <c:f>'def2-SVP'!$I$19:$I$26</c:f>
              <c:numCache>
                <c:formatCode>General</c:formatCode>
                <c:ptCount val="8"/>
                <c:pt idx="0">
                  <c:v>6.8000000000000005E-2</c:v>
                </c:pt>
                <c:pt idx="1">
                  <c:v>0.17538461538461536</c:v>
                </c:pt>
                <c:pt idx="2">
                  <c:v>0.82076923076923081</c:v>
                </c:pt>
                <c:pt idx="3">
                  <c:v>1.9806666666666668</c:v>
                </c:pt>
                <c:pt idx="4">
                  <c:v>4.42875</c:v>
                </c:pt>
                <c:pt idx="5">
                  <c:v>11.020588235294117</c:v>
                </c:pt>
                <c:pt idx="6">
                  <c:v>22.770624999999999</c:v>
                </c:pt>
                <c:pt idx="7">
                  <c:v>50.99285714285714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26-7C4C-8466-D9C62B7BEA72}"/>
            </c:ext>
          </c:extLst>
        </c:ser>
        <c:ser>
          <c:idx val="2"/>
          <c:order val="2"/>
          <c:tx>
            <c:strRef>
              <c:f>'def2-SVP'!$J$18</c:f>
              <c:strCache>
                <c:ptCount val="1"/>
                <c:pt idx="0">
                  <c:v>XC (s) / iter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'def2-SVP'!$G$19:$G$26</c:f>
              <c:numCache>
                <c:formatCode>General</c:formatCode>
                <c:ptCount val="8"/>
                <c:pt idx="0">
                  <c:v>120</c:v>
                </c:pt>
                <c:pt idx="1">
                  <c:v>240</c:v>
                </c:pt>
                <c:pt idx="2">
                  <c:v>480</c:v>
                </c:pt>
                <c:pt idx="3">
                  <c:v>768</c:v>
                </c:pt>
                <c:pt idx="4">
                  <c:v>1128</c:v>
                </c:pt>
                <c:pt idx="5">
                  <c:v>1824</c:v>
                </c:pt>
                <c:pt idx="6">
                  <c:v>2400</c:v>
                </c:pt>
                <c:pt idx="7">
                  <c:v>3336</c:v>
                </c:pt>
              </c:numCache>
            </c:numRef>
          </c:xVal>
          <c:yVal>
            <c:numRef>
              <c:f>'def2-SVP'!$J$19:$J$26</c:f>
              <c:numCache>
                <c:formatCode>General</c:formatCode>
                <c:ptCount val="8"/>
                <c:pt idx="0">
                  <c:v>9.8000000000000004E-2</c:v>
                </c:pt>
                <c:pt idx="1">
                  <c:v>0.31230769230769229</c:v>
                </c:pt>
                <c:pt idx="2">
                  <c:v>0.93538461538461537</c:v>
                </c:pt>
                <c:pt idx="3">
                  <c:v>1.964</c:v>
                </c:pt>
                <c:pt idx="4">
                  <c:v>3.7887499999999998</c:v>
                </c:pt>
                <c:pt idx="5">
                  <c:v>8.959411764705882</c:v>
                </c:pt>
                <c:pt idx="6">
                  <c:v>12.717499999999999</c:v>
                </c:pt>
                <c:pt idx="7">
                  <c:v>21.30857142857143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26-7C4C-8466-D9C62B7BE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240127"/>
        <c:axId val="343241855"/>
      </c:scatterChart>
      <c:valAx>
        <c:axId val="34324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No. of Basis Functions (</a:t>
                </a:r>
                <a:r>
                  <a:rPr lang="en-GB" i="1"/>
                  <a:t>Nbf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1855"/>
        <c:crosses val="autoZero"/>
        <c:crossBetween val="midCat"/>
      </c:valAx>
      <c:valAx>
        <c:axId val="34324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Wall Time per Iteration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0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Scaling behavior of KS-DFT</a:t>
            </a:r>
            <a:r>
              <a:rPr lang="en-GB" baseline="0"/>
              <a:t> Calculations using PyFock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'def2-TZVP'!$B$18</c:f>
              <c:strCache>
                <c:ptCount val="1"/>
                <c:pt idx="0">
                  <c:v>Total Time Taken (s) / iter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'def2-TZVP'!$A$19:$A$26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32</c:v>
                </c:pt>
                <c:pt idx="4">
                  <c:v>47</c:v>
                </c:pt>
                <c:pt idx="5">
                  <c:v>76</c:v>
                </c:pt>
                <c:pt idx="6">
                  <c:v>100</c:v>
                </c:pt>
                <c:pt idx="7">
                  <c:v>139</c:v>
                </c:pt>
              </c:numCache>
            </c:numRef>
          </c:xVal>
          <c:yVal>
            <c:numRef>
              <c:f>'def2-TZVP'!$B$19:$B$26</c:f>
              <c:numCache>
                <c:formatCode>General</c:formatCode>
                <c:ptCount val="8"/>
                <c:pt idx="0">
                  <c:v>0.503</c:v>
                </c:pt>
                <c:pt idx="1">
                  <c:v>1.4892307692307691</c:v>
                </c:pt>
                <c:pt idx="2">
                  <c:v>5.8785714285714281</c:v>
                </c:pt>
                <c:pt idx="3">
                  <c:v>14.902142857142858</c:v>
                </c:pt>
                <c:pt idx="4">
                  <c:v>33.301333333333332</c:v>
                </c:pt>
                <c:pt idx="5">
                  <c:v>86.933529411764695</c:v>
                </c:pt>
                <c:pt idx="6">
                  <c:v>168.31687500000001</c:v>
                </c:pt>
                <c:pt idx="7">
                  <c:v>346.5675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59-6346-8E61-9492834B973F}"/>
            </c:ext>
          </c:extLst>
        </c:ser>
        <c:ser>
          <c:idx val="1"/>
          <c:order val="1"/>
          <c:tx>
            <c:strRef>
              <c:f>'def2-TZVP'!$C$18</c:f>
              <c:strCache>
                <c:ptCount val="1"/>
                <c:pt idx="0">
                  <c:v>J time (s) / iter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'def2-TZVP'!$A$19:$A$26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32</c:v>
                </c:pt>
                <c:pt idx="4">
                  <c:v>47</c:v>
                </c:pt>
                <c:pt idx="5">
                  <c:v>76</c:v>
                </c:pt>
                <c:pt idx="6">
                  <c:v>100</c:v>
                </c:pt>
                <c:pt idx="7">
                  <c:v>139</c:v>
                </c:pt>
              </c:numCache>
            </c:numRef>
          </c:xVal>
          <c:yVal>
            <c:numRef>
              <c:f>'def2-TZVP'!$C$19:$C$26</c:f>
              <c:numCache>
                <c:formatCode>General</c:formatCode>
                <c:ptCount val="8"/>
                <c:pt idx="0">
                  <c:v>0.13999999999999999</c:v>
                </c:pt>
                <c:pt idx="1">
                  <c:v>0.49615384615384617</c:v>
                </c:pt>
                <c:pt idx="2">
                  <c:v>2.34</c:v>
                </c:pt>
                <c:pt idx="3">
                  <c:v>6.4392857142857149</c:v>
                </c:pt>
                <c:pt idx="4">
                  <c:v>14.696</c:v>
                </c:pt>
                <c:pt idx="5">
                  <c:v>33.411176470588238</c:v>
                </c:pt>
                <c:pt idx="6">
                  <c:v>68.290000000000006</c:v>
                </c:pt>
                <c:pt idx="7">
                  <c:v>131.25874999999999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59-6346-8E61-9492834B973F}"/>
            </c:ext>
          </c:extLst>
        </c:ser>
        <c:ser>
          <c:idx val="2"/>
          <c:order val="2"/>
          <c:tx>
            <c:strRef>
              <c:f>'def2-TZVP'!$D$18</c:f>
              <c:strCache>
                <c:ptCount val="1"/>
                <c:pt idx="0">
                  <c:v>XC (s) / iter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'def2-TZVP'!$A$19:$A$26</c:f>
              <c:numCache>
                <c:formatCode>General</c:formatCode>
                <c:ptCount val="8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32</c:v>
                </c:pt>
                <c:pt idx="4">
                  <c:v>47</c:v>
                </c:pt>
                <c:pt idx="5">
                  <c:v>76</c:v>
                </c:pt>
                <c:pt idx="6">
                  <c:v>100</c:v>
                </c:pt>
                <c:pt idx="7">
                  <c:v>139</c:v>
                </c:pt>
              </c:numCache>
            </c:numRef>
          </c:xVal>
          <c:yVal>
            <c:numRef>
              <c:f>'def2-TZVP'!$D$19:$D$26</c:f>
              <c:numCache>
                <c:formatCode>General</c:formatCode>
                <c:ptCount val="8"/>
                <c:pt idx="0">
                  <c:v>0.20299999999999999</c:v>
                </c:pt>
                <c:pt idx="1">
                  <c:v>0.65307692307692311</c:v>
                </c:pt>
                <c:pt idx="2">
                  <c:v>2.1871428571428573</c:v>
                </c:pt>
                <c:pt idx="3">
                  <c:v>4.6692857142857145</c:v>
                </c:pt>
                <c:pt idx="4">
                  <c:v>9.0220000000000002</c:v>
                </c:pt>
                <c:pt idx="5">
                  <c:v>21.537647058823527</c:v>
                </c:pt>
                <c:pt idx="6">
                  <c:v>33.678125000000001</c:v>
                </c:pt>
                <c:pt idx="7">
                  <c:v>57.086874999999999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59-6346-8E61-9492834B9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806720"/>
        <c:axId val="955075920"/>
      </c:scatterChart>
      <c:valAx>
        <c:axId val="214680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No. of Water Molecules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75920"/>
        <c:crosses val="autoZero"/>
        <c:crossBetween val="midCat"/>
      </c:valAx>
      <c:valAx>
        <c:axId val="95507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Wall Time  per Iteration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80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Scaling behavior of KS-DFT Calculations using PyFock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'def2-TZVP'!$H$18</c:f>
              <c:strCache>
                <c:ptCount val="1"/>
                <c:pt idx="0">
                  <c:v>Total Time Taken (s) / iter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'def2-TZVP'!$G$19:$G$26</c:f>
              <c:numCache>
                <c:formatCode>General</c:formatCode>
                <c:ptCount val="8"/>
                <c:pt idx="0">
                  <c:v>215</c:v>
                </c:pt>
                <c:pt idx="1">
                  <c:v>430</c:v>
                </c:pt>
                <c:pt idx="2">
                  <c:v>860</c:v>
                </c:pt>
                <c:pt idx="3">
                  <c:v>1376</c:v>
                </c:pt>
                <c:pt idx="4">
                  <c:v>2021</c:v>
                </c:pt>
                <c:pt idx="5">
                  <c:v>3268</c:v>
                </c:pt>
                <c:pt idx="6">
                  <c:v>4300</c:v>
                </c:pt>
                <c:pt idx="7">
                  <c:v>5977</c:v>
                </c:pt>
              </c:numCache>
            </c:numRef>
          </c:xVal>
          <c:yVal>
            <c:numRef>
              <c:f>'def2-TZVP'!$H$19:$H$26</c:f>
              <c:numCache>
                <c:formatCode>General</c:formatCode>
                <c:ptCount val="8"/>
                <c:pt idx="0">
                  <c:v>0.503</c:v>
                </c:pt>
                <c:pt idx="1">
                  <c:v>1.4892307692307691</c:v>
                </c:pt>
                <c:pt idx="2">
                  <c:v>5.8785714285714281</c:v>
                </c:pt>
                <c:pt idx="3">
                  <c:v>14.902142857142858</c:v>
                </c:pt>
                <c:pt idx="4">
                  <c:v>33.301333333333332</c:v>
                </c:pt>
                <c:pt idx="5">
                  <c:v>86.933529411764695</c:v>
                </c:pt>
                <c:pt idx="6">
                  <c:v>168.31687500000001</c:v>
                </c:pt>
                <c:pt idx="7">
                  <c:v>346.5675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F6-ED49-83DC-D415915F8DDE}"/>
            </c:ext>
          </c:extLst>
        </c:ser>
        <c:ser>
          <c:idx val="1"/>
          <c:order val="1"/>
          <c:tx>
            <c:strRef>
              <c:f>'def2-TZVP'!$I$18</c:f>
              <c:strCache>
                <c:ptCount val="1"/>
                <c:pt idx="0">
                  <c:v>J time (s) / iter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'def2-TZVP'!$G$19:$G$26</c:f>
              <c:numCache>
                <c:formatCode>General</c:formatCode>
                <c:ptCount val="8"/>
                <c:pt idx="0">
                  <c:v>215</c:v>
                </c:pt>
                <c:pt idx="1">
                  <c:v>430</c:v>
                </c:pt>
                <c:pt idx="2">
                  <c:v>860</c:v>
                </c:pt>
                <c:pt idx="3">
                  <c:v>1376</c:v>
                </c:pt>
                <c:pt idx="4">
                  <c:v>2021</c:v>
                </c:pt>
                <c:pt idx="5">
                  <c:v>3268</c:v>
                </c:pt>
                <c:pt idx="6">
                  <c:v>4300</c:v>
                </c:pt>
                <c:pt idx="7">
                  <c:v>5977</c:v>
                </c:pt>
              </c:numCache>
            </c:numRef>
          </c:xVal>
          <c:yVal>
            <c:numRef>
              <c:f>'def2-TZVP'!$I$19:$I$26</c:f>
              <c:numCache>
                <c:formatCode>General</c:formatCode>
                <c:ptCount val="8"/>
                <c:pt idx="0">
                  <c:v>0.13999999999999999</c:v>
                </c:pt>
                <c:pt idx="1">
                  <c:v>0.49615384615384617</c:v>
                </c:pt>
                <c:pt idx="2">
                  <c:v>2.34</c:v>
                </c:pt>
                <c:pt idx="3">
                  <c:v>6.4392857142857149</c:v>
                </c:pt>
                <c:pt idx="4">
                  <c:v>14.696</c:v>
                </c:pt>
                <c:pt idx="5">
                  <c:v>33.411176470588238</c:v>
                </c:pt>
                <c:pt idx="6">
                  <c:v>68.290000000000006</c:v>
                </c:pt>
                <c:pt idx="7">
                  <c:v>131.25874999999999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F6-ED49-83DC-D415915F8DDE}"/>
            </c:ext>
          </c:extLst>
        </c:ser>
        <c:ser>
          <c:idx val="2"/>
          <c:order val="2"/>
          <c:tx>
            <c:strRef>
              <c:f>'def2-TZVP'!$J$18</c:f>
              <c:strCache>
                <c:ptCount val="1"/>
                <c:pt idx="0">
                  <c:v>XC (s) / iter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'def2-TZVP'!$G$19:$G$26</c:f>
              <c:numCache>
                <c:formatCode>General</c:formatCode>
                <c:ptCount val="8"/>
                <c:pt idx="0">
                  <c:v>215</c:v>
                </c:pt>
                <c:pt idx="1">
                  <c:v>430</c:v>
                </c:pt>
                <c:pt idx="2">
                  <c:v>860</c:v>
                </c:pt>
                <c:pt idx="3">
                  <c:v>1376</c:v>
                </c:pt>
                <c:pt idx="4">
                  <c:v>2021</c:v>
                </c:pt>
                <c:pt idx="5">
                  <c:v>3268</c:v>
                </c:pt>
                <c:pt idx="6">
                  <c:v>4300</c:v>
                </c:pt>
                <c:pt idx="7">
                  <c:v>5977</c:v>
                </c:pt>
              </c:numCache>
            </c:numRef>
          </c:xVal>
          <c:yVal>
            <c:numRef>
              <c:f>'def2-TZVP'!$J$19:$J$26</c:f>
              <c:numCache>
                <c:formatCode>General</c:formatCode>
                <c:ptCount val="8"/>
                <c:pt idx="0">
                  <c:v>0.20299999999999999</c:v>
                </c:pt>
                <c:pt idx="1">
                  <c:v>0.65307692307692311</c:v>
                </c:pt>
                <c:pt idx="2">
                  <c:v>2.1871428571428573</c:v>
                </c:pt>
                <c:pt idx="3">
                  <c:v>4.6692857142857145</c:v>
                </c:pt>
                <c:pt idx="4">
                  <c:v>9.0220000000000002</c:v>
                </c:pt>
                <c:pt idx="5">
                  <c:v>21.537647058823527</c:v>
                </c:pt>
                <c:pt idx="6">
                  <c:v>33.678125000000001</c:v>
                </c:pt>
                <c:pt idx="7">
                  <c:v>57.086874999999999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F6-ED49-83DC-D415915F8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240127"/>
        <c:axId val="343241855"/>
      </c:scatterChart>
      <c:valAx>
        <c:axId val="34324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No. of Basis Functions (</a:t>
                </a:r>
                <a:r>
                  <a:rPr lang="en-GB" i="1"/>
                  <a:t>Nbf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1855"/>
        <c:crosses val="autoZero"/>
        <c:crossBetween val="midCat"/>
      </c:valAx>
      <c:valAx>
        <c:axId val="34324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Wall Time per Iteration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240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26</xdr:row>
      <xdr:rowOff>82550</xdr:rowOff>
    </xdr:from>
    <xdr:to>
      <xdr:col>4</xdr:col>
      <xdr:colOff>228600</xdr:colOff>
      <xdr:row>43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B6D7B7-DFA0-61C0-EFD8-CBEAD44EE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552450</xdr:colOff>
      <xdr:row>26</xdr:row>
      <xdr:rowOff>101600</xdr:rowOff>
    </xdr:from>
    <xdr:to>
      <xdr:col>10</xdr:col>
      <xdr:colOff>330200</xdr:colOff>
      <xdr:row>44</xdr:row>
      <xdr:rowOff>31750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5F7E02-0B00-0C81-DC95-941D93186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26</xdr:row>
      <xdr:rowOff>82550</xdr:rowOff>
    </xdr:from>
    <xdr:to>
      <xdr:col>4</xdr:col>
      <xdr:colOff>228600</xdr:colOff>
      <xdr:row>43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9808F-A56B-CB48-9C30-7701F70224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552450</xdr:colOff>
      <xdr:row>26</xdr:row>
      <xdr:rowOff>101600</xdr:rowOff>
    </xdr:from>
    <xdr:to>
      <xdr:col>10</xdr:col>
      <xdr:colOff>330200</xdr:colOff>
      <xdr:row>44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2E7D1F-8AC1-5C43-9427-84A19215B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1A2DA-171B-7249-99BA-E5D7419364B8}">
  <dimension ref="A1:J26"/>
  <sheetViews>
    <sheetView tabSelected="1" workbookViewId="0">
      <selection activeCell="C7" sqref="C7:F14"/>
    </sheetView>
  </sheetViews>
  <sheetFormatPr baseColWidth="10" defaultRowHeight="16" x14ac:dyDescent="0.2"/>
  <cols>
    <col min="1" max="1" width="20" customWidth="1"/>
    <col min="2" max="2" width="18.83203125" customWidth="1"/>
    <col min="3" max="3" width="17.83203125" customWidth="1"/>
    <col min="7" max="7" width="23.6640625" customWidth="1"/>
    <col min="8" max="8" width="14.83203125" customWidth="1"/>
  </cols>
  <sheetData>
    <row r="1" spans="1:9" x14ac:dyDescent="0.2">
      <c r="A1" s="2" t="s">
        <v>0</v>
      </c>
    </row>
    <row r="2" spans="1:9" x14ac:dyDescent="0.2">
      <c r="A2" s="2" t="s">
        <v>12</v>
      </c>
    </row>
    <row r="3" spans="1:9" x14ac:dyDescent="0.2">
      <c r="A3" s="2" t="s">
        <v>1</v>
      </c>
    </row>
    <row r="4" spans="1:9" x14ac:dyDescent="0.2">
      <c r="A4" s="2" t="s">
        <v>2</v>
      </c>
    </row>
    <row r="6" spans="1:9" x14ac:dyDescent="0.2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11</v>
      </c>
      <c r="G6" s="2" t="s">
        <v>8</v>
      </c>
      <c r="H6" s="2" t="s">
        <v>9</v>
      </c>
      <c r="I6" s="2" t="s">
        <v>10</v>
      </c>
    </row>
    <row r="7" spans="1:9" x14ac:dyDescent="0.2">
      <c r="A7">
        <v>5</v>
      </c>
      <c r="B7">
        <v>120</v>
      </c>
      <c r="C7" s="1">
        <v>2.63</v>
      </c>
      <c r="D7" s="1">
        <v>0.68</v>
      </c>
      <c r="E7" s="1">
        <v>0.98</v>
      </c>
      <c r="F7" s="1">
        <v>10</v>
      </c>
      <c r="G7">
        <f t="shared" ref="G7:G14" si="0">C7/F7</f>
        <v>0.26300000000000001</v>
      </c>
      <c r="H7">
        <f t="shared" ref="H7:H14" si="1">D7/F7</f>
        <v>6.8000000000000005E-2</v>
      </c>
      <c r="I7">
        <f t="shared" ref="I7:I14" si="2">E7/F7</f>
        <v>9.8000000000000004E-2</v>
      </c>
    </row>
    <row r="8" spans="1:9" x14ac:dyDescent="0.2">
      <c r="A8">
        <v>10</v>
      </c>
      <c r="B8">
        <v>240</v>
      </c>
      <c r="C8" s="1">
        <v>8.35</v>
      </c>
      <c r="D8" s="1">
        <v>2.2799999999999998</v>
      </c>
      <c r="E8" s="1">
        <v>4.0599999999999996</v>
      </c>
      <c r="F8" s="1">
        <v>13</v>
      </c>
      <c r="G8">
        <f t="shared" si="0"/>
        <v>0.64230769230769225</v>
      </c>
      <c r="H8">
        <f t="shared" si="1"/>
        <v>0.17538461538461536</v>
      </c>
      <c r="I8">
        <f t="shared" si="2"/>
        <v>0.31230769230769229</v>
      </c>
    </row>
    <row r="9" spans="1:9" x14ac:dyDescent="0.2">
      <c r="A9">
        <v>20</v>
      </c>
      <c r="B9">
        <v>480</v>
      </c>
      <c r="C9" s="1">
        <v>29.57</v>
      </c>
      <c r="D9" s="1">
        <v>10.67</v>
      </c>
      <c r="E9" s="1">
        <v>12.16</v>
      </c>
      <c r="F9" s="1">
        <v>13</v>
      </c>
      <c r="G9">
        <f t="shared" si="0"/>
        <v>2.2746153846153847</v>
      </c>
      <c r="H9">
        <f t="shared" si="1"/>
        <v>0.82076923076923081</v>
      </c>
      <c r="I9">
        <f t="shared" si="2"/>
        <v>0.93538461538461537</v>
      </c>
    </row>
    <row r="10" spans="1:9" x14ac:dyDescent="0.2">
      <c r="A10">
        <v>32</v>
      </c>
      <c r="B10">
        <v>768</v>
      </c>
      <c r="C10" s="1">
        <v>77.77</v>
      </c>
      <c r="D10" s="1">
        <v>29.71</v>
      </c>
      <c r="E10" s="1">
        <v>29.46</v>
      </c>
      <c r="F10" s="1">
        <v>15</v>
      </c>
      <c r="G10">
        <f t="shared" si="0"/>
        <v>5.1846666666666668</v>
      </c>
      <c r="H10">
        <f t="shared" si="1"/>
        <v>1.9806666666666668</v>
      </c>
      <c r="I10">
        <f t="shared" si="2"/>
        <v>1.964</v>
      </c>
    </row>
    <row r="11" spans="1:9" x14ac:dyDescent="0.2">
      <c r="A11">
        <v>47</v>
      </c>
      <c r="B11">
        <v>1128</v>
      </c>
      <c r="C11" s="1">
        <v>177.3</v>
      </c>
      <c r="D11" s="1">
        <v>70.86</v>
      </c>
      <c r="E11" s="1">
        <v>60.62</v>
      </c>
      <c r="F11" s="1">
        <v>16</v>
      </c>
      <c r="G11">
        <f t="shared" si="0"/>
        <v>11.081250000000001</v>
      </c>
      <c r="H11">
        <f t="shared" si="1"/>
        <v>4.42875</v>
      </c>
      <c r="I11">
        <f t="shared" si="2"/>
        <v>3.7887499999999998</v>
      </c>
    </row>
    <row r="12" spans="1:9" x14ac:dyDescent="0.2">
      <c r="A12">
        <v>76</v>
      </c>
      <c r="B12">
        <v>1824</v>
      </c>
      <c r="C12" s="1">
        <v>484.97</v>
      </c>
      <c r="D12" s="1">
        <v>187.35</v>
      </c>
      <c r="E12" s="1">
        <v>152.31</v>
      </c>
      <c r="F12" s="1">
        <v>17</v>
      </c>
      <c r="G12">
        <f t="shared" si="0"/>
        <v>28.527647058823533</v>
      </c>
      <c r="H12">
        <f t="shared" si="1"/>
        <v>11.020588235294117</v>
      </c>
      <c r="I12">
        <f t="shared" si="2"/>
        <v>8.959411764705882</v>
      </c>
    </row>
    <row r="13" spans="1:9" x14ac:dyDescent="0.2">
      <c r="A13">
        <v>100</v>
      </c>
      <c r="B13">
        <v>2400</v>
      </c>
      <c r="C13" s="1">
        <v>836.5</v>
      </c>
      <c r="D13" s="1">
        <v>364.33</v>
      </c>
      <c r="E13" s="1">
        <v>203.48</v>
      </c>
      <c r="F13" s="1">
        <v>16</v>
      </c>
      <c r="G13">
        <f t="shared" si="0"/>
        <v>52.28125</v>
      </c>
      <c r="H13">
        <f t="shared" si="1"/>
        <v>22.770624999999999</v>
      </c>
      <c r="I13">
        <f t="shared" si="2"/>
        <v>12.717499999999999</v>
      </c>
    </row>
    <row r="14" spans="1:9" x14ac:dyDescent="0.2">
      <c r="A14">
        <v>139</v>
      </c>
      <c r="B14">
        <v>3336</v>
      </c>
      <c r="C14" s="1">
        <v>1550.15</v>
      </c>
      <c r="D14" s="1">
        <v>713.9</v>
      </c>
      <c r="E14" s="1">
        <v>298.32</v>
      </c>
      <c r="F14" s="1">
        <v>14</v>
      </c>
      <c r="G14">
        <f t="shared" si="0"/>
        <v>110.72500000000001</v>
      </c>
      <c r="H14">
        <f t="shared" si="1"/>
        <v>50.99285714285714</v>
      </c>
      <c r="I14">
        <f t="shared" si="2"/>
        <v>21.30857142857143</v>
      </c>
    </row>
    <row r="18" spans="1:10" x14ac:dyDescent="0.2">
      <c r="A18" s="2" t="s">
        <v>3</v>
      </c>
      <c r="B18" s="2" t="s">
        <v>8</v>
      </c>
      <c r="C18" s="2" t="s">
        <v>9</v>
      </c>
      <c r="D18" s="2" t="s">
        <v>10</v>
      </c>
      <c r="G18" s="2" t="s">
        <v>4</v>
      </c>
      <c r="H18" s="2" t="s">
        <v>8</v>
      </c>
      <c r="I18" s="2" t="s">
        <v>9</v>
      </c>
      <c r="J18" s="2" t="s">
        <v>10</v>
      </c>
    </row>
    <row r="19" spans="1:10" x14ac:dyDescent="0.2">
      <c r="A19">
        <v>5</v>
      </c>
      <c r="B19">
        <v>0.26300000000000001</v>
      </c>
      <c r="C19">
        <v>6.8000000000000005E-2</v>
      </c>
      <c r="D19">
        <v>9.8000000000000004E-2</v>
      </c>
      <c r="G19">
        <v>120</v>
      </c>
      <c r="H19">
        <v>0.26300000000000001</v>
      </c>
      <c r="I19">
        <v>6.8000000000000005E-2</v>
      </c>
      <c r="J19">
        <v>9.8000000000000004E-2</v>
      </c>
    </row>
    <row r="20" spans="1:10" x14ac:dyDescent="0.2">
      <c r="A20">
        <v>10</v>
      </c>
      <c r="B20">
        <v>0.64230769230769225</v>
      </c>
      <c r="C20">
        <v>0.17538461538461536</v>
      </c>
      <c r="D20">
        <v>0.31230769230769229</v>
      </c>
      <c r="G20">
        <v>240</v>
      </c>
      <c r="H20">
        <v>0.64230769230769225</v>
      </c>
      <c r="I20">
        <v>0.17538461538461536</v>
      </c>
      <c r="J20">
        <v>0.31230769230769229</v>
      </c>
    </row>
    <row r="21" spans="1:10" x14ac:dyDescent="0.2">
      <c r="A21">
        <v>20</v>
      </c>
      <c r="B21">
        <v>2.2746153846153847</v>
      </c>
      <c r="C21">
        <v>0.82076923076923081</v>
      </c>
      <c r="D21">
        <v>0.93538461538461537</v>
      </c>
      <c r="G21">
        <v>480</v>
      </c>
      <c r="H21">
        <v>2.2746153846153847</v>
      </c>
      <c r="I21">
        <v>0.82076923076923081</v>
      </c>
      <c r="J21">
        <v>0.93538461538461537</v>
      </c>
    </row>
    <row r="22" spans="1:10" x14ac:dyDescent="0.2">
      <c r="A22">
        <v>32</v>
      </c>
      <c r="B22">
        <v>5.1846666666666668</v>
      </c>
      <c r="C22">
        <v>1.9806666666666668</v>
      </c>
      <c r="D22">
        <v>1.964</v>
      </c>
      <c r="G22">
        <v>768</v>
      </c>
      <c r="H22">
        <v>5.1846666666666668</v>
      </c>
      <c r="I22">
        <v>1.9806666666666668</v>
      </c>
      <c r="J22">
        <v>1.964</v>
      </c>
    </row>
    <row r="23" spans="1:10" x14ac:dyDescent="0.2">
      <c r="A23">
        <v>47</v>
      </c>
      <c r="B23">
        <v>11.081250000000001</v>
      </c>
      <c r="C23">
        <v>4.42875</v>
      </c>
      <c r="D23">
        <v>3.7887499999999998</v>
      </c>
      <c r="G23">
        <v>1128</v>
      </c>
      <c r="H23">
        <v>11.081250000000001</v>
      </c>
      <c r="I23">
        <v>4.42875</v>
      </c>
      <c r="J23">
        <v>3.7887499999999998</v>
      </c>
    </row>
    <row r="24" spans="1:10" x14ac:dyDescent="0.2">
      <c r="A24">
        <v>76</v>
      </c>
      <c r="B24">
        <v>28.527647058823533</v>
      </c>
      <c r="C24">
        <v>11.020588235294117</v>
      </c>
      <c r="D24">
        <v>8.959411764705882</v>
      </c>
      <c r="G24">
        <v>1824</v>
      </c>
      <c r="H24">
        <v>28.527647058823533</v>
      </c>
      <c r="I24">
        <v>11.020588235294117</v>
      </c>
      <c r="J24">
        <v>8.959411764705882</v>
      </c>
    </row>
    <row r="25" spans="1:10" x14ac:dyDescent="0.2">
      <c r="A25">
        <v>100</v>
      </c>
      <c r="B25">
        <v>52.28125</v>
      </c>
      <c r="C25">
        <v>22.770624999999999</v>
      </c>
      <c r="D25">
        <v>12.717499999999999</v>
      </c>
      <c r="G25">
        <v>2400</v>
      </c>
      <c r="H25">
        <v>52.28125</v>
      </c>
      <c r="I25">
        <v>22.770624999999999</v>
      </c>
      <c r="J25">
        <v>12.717499999999999</v>
      </c>
    </row>
    <row r="26" spans="1:10" x14ac:dyDescent="0.2">
      <c r="A26">
        <v>139</v>
      </c>
      <c r="B26">
        <v>110.72500000000001</v>
      </c>
      <c r="C26">
        <v>50.99285714285714</v>
      </c>
      <c r="D26">
        <v>21.30857142857143</v>
      </c>
      <c r="G26">
        <v>3336</v>
      </c>
      <c r="H26">
        <v>110.72500000000001</v>
      </c>
      <c r="I26">
        <v>50.99285714285714</v>
      </c>
      <c r="J26">
        <v>21.30857142857143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69D1-254C-A34F-B12A-98605865A2E9}">
  <dimension ref="A1:J26"/>
  <sheetViews>
    <sheetView workbookViewId="0">
      <selection activeCell="B7" sqref="B7:I14"/>
    </sheetView>
  </sheetViews>
  <sheetFormatPr baseColWidth="10" defaultRowHeight="16" x14ac:dyDescent="0.2"/>
  <cols>
    <col min="1" max="1" width="20" customWidth="1"/>
    <col min="2" max="2" width="18.83203125" customWidth="1"/>
    <col min="3" max="3" width="17.83203125" customWidth="1"/>
    <col min="7" max="7" width="23.6640625" customWidth="1"/>
    <col min="8" max="8" width="14.83203125" customWidth="1"/>
  </cols>
  <sheetData>
    <row r="1" spans="1:9" x14ac:dyDescent="0.2">
      <c r="A1" s="2" t="s">
        <v>0</v>
      </c>
    </row>
    <row r="2" spans="1:9" x14ac:dyDescent="0.2">
      <c r="A2" s="2" t="s">
        <v>12</v>
      </c>
    </row>
    <row r="3" spans="1:9" x14ac:dyDescent="0.2">
      <c r="A3" s="2" t="s">
        <v>1</v>
      </c>
    </row>
    <row r="4" spans="1:9" x14ac:dyDescent="0.2">
      <c r="A4" s="2" t="s">
        <v>2</v>
      </c>
    </row>
    <row r="6" spans="1:9" x14ac:dyDescent="0.2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11</v>
      </c>
      <c r="G6" s="2" t="s">
        <v>8</v>
      </c>
      <c r="H6" s="2" t="s">
        <v>9</v>
      </c>
      <c r="I6" s="2" t="s">
        <v>10</v>
      </c>
    </row>
    <row r="7" spans="1:9" x14ac:dyDescent="0.2">
      <c r="A7">
        <v>5</v>
      </c>
      <c r="B7">
        <v>215</v>
      </c>
      <c r="C7" s="1">
        <v>5.03</v>
      </c>
      <c r="D7" s="1">
        <v>1.4</v>
      </c>
      <c r="E7" s="1">
        <v>2.0299999999999998</v>
      </c>
      <c r="F7" s="1">
        <v>10</v>
      </c>
      <c r="G7">
        <f t="shared" ref="G7:G14" si="0">C7/F7</f>
        <v>0.503</v>
      </c>
      <c r="H7">
        <f t="shared" ref="H7:H14" si="1">D7/F7</f>
        <v>0.13999999999999999</v>
      </c>
      <c r="I7">
        <f t="shared" ref="I7:I14" si="2">E7/F7</f>
        <v>0.20299999999999999</v>
      </c>
    </row>
    <row r="8" spans="1:9" x14ac:dyDescent="0.2">
      <c r="A8">
        <v>10</v>
      </c>
      <c r="B8">
        <v>430</v>
      </c>
      <c r="C8" s="1">
        <v>19.36</v>
      </c>
      <c r="D8" s="1">
        <v>6.45</v>
      </c>
      <c r="E8" s="1">
        <v>8.49</v>
      </c>
      <c r="F8" s="1">
        <v>13</v>
      </c>
      <c r="G8">
        <f t="shared" si="0"/>
        <v>1.4892307692307691</v>
      </c>
      <c r="H8">
        <f t="shared" si="1"/>
        <v>0.49615384615384617</v>
      </c>
      <c r="I8">
        <f t="shared" si="2"/>
        <v>0.65307692307692311</v>
      </c>
    </row>
    <row r="9" spans="1:9" x14ac:dyDescent="0.2">
      <c r="A9">
        <v>20</v>
      </c>
      <c r="B9">
        <v>860</v>
      </c>
      <c r="C9" s="1">
        <v>82.3</v>
      </c>
      <c r="D9" s="1">
        <v>32.76</v>
      </c>
      <c r="E9" s="1">
        <v>30.62</v>
      </c>
      <c r="F9" s="1">
        <v>14</v>
      </c>
      <c r="G9">
        <f t="shared" si="0"/>
        <v>5.8785714285714281</v>
      </c>
      <c r="H9">
        <f t="shared" si="1"/>
        <v>2.34</v>
      </c>
      <c r="I9">
        <f t="shared" si="2"/>
        <v>2.1871428571428573</v>
      </c>
    </row>
    <row r="10" spans="1:9" x14ac:dyDescent="0.2">
      <c r="A10">
        <v>32</v>
      </c>
      <c r="B10">
        <v>1376</v>
      </c>
      <c r="C10" s="1">
        <v>208.63</v>
      </c>
      <c r="D10" s="1">
        <v>90.15</v>
      </c>
      <c r="E10" s="1">
        <v>65.37</v>
      </c>
      <c r="F10" s="1">
        <v>14</v>
      </c>
      <c r="G10">
        <f t="shared" si="0"/>
        <v>14.902142857142858</v>
      </c>
      <c r="H10">
        <f t="shared" si="1"/>
        <v>6.4392857142857149</v>
      </c>
      <c r="I10">
        <f t="shared" si="2"/>
        <v>4.6692857142857145</v>
      </c>
    </row>
    <row r="11" spans="1:9" x14ac:dyDescent="0.2">
      <c r="A11">
        <v>47</v>
      </c>
      <c r="B11">
        <v>2021</v>
      </c>
      <c r="C11" s="1">
        <v>499.52</v>
      </c>
      <c r="D11" s="1">
        <v>220.44</v>
      </c>
      <c r="E11" s="1">
        <v>135.33000000000001</v>
      </c>
      <c r="F11" s="1">
        <v>15</v>
      </c>
      <c r="G11">
        <f t="shared" si="0"/>
        <v>33.301333333333332</v>
      </c>
      <c r="H11">
        <f t="shared" si="1"/>
        <v>14.696</v>
      </c>
      <c r="I11">
        <f t="shared" si="2"/>
        <v>9.0220000000000002</v>
      </c>
    </row>
    <row r="12" spans="1:9" x14ac:dyDescent="0.2">
      <c r="A12">
        <v>76</v>
      </c>
      <c r="B12">
        <v>3268</v>
      </c>
      <c r="C12" s="1">
        <v>1477.87</v>
      </c>
      <c r="D12" s="1">
        <v>567.99</v>
      </c>
      <c r="E12" s="1">
        <v>366.14</v>
      </c>
      <c r="F12" s="1">
        <v>17</v>
      </c>
      <c r="G12">
        <f t="shared" si="0"/>
        <v>86.933529411764695</v>
      </c>
      <c r="H12">
        <f t="shared" si="1"/>
        <v>33.411176470588238</v>
      </c>
      <c r="I12">
        <f t="shared" si="2"/>
        <v>21.537647058823527</v>
      </c>
    </row>
    <row r="13" spans="1:9" x14ac:dyDescent="0.2">
      <c r="A13">
        <v>100</v>
      </c>
      <c r="B13">
        <v>4300</v>
      </c>
      <c r="C13" s="1">
        <v>2693.07</v>
      </c>
      <c r="D13" s="1">
        <v>1092.6400000000001</v>
      </c>
      <c r="E13" s="1">
        <v>538.85</v>
      </c>
      <c r="F13" s="1">
        <v>16</v>
      </c>
      <c r="G13">
        <f t="shared" si="0"/>
        <v>168.31687500000001</v>
      </c>
      <c r="H13">
        <f t="shared" si="1"/>
        <v>68.290000000000006</v>
      </c>
      <c r="I13">
        <f t="shared" si="2"/>
        <v>33.678125000000001</v>
      </c>
    </row>
    <row r="14" spans="1:9" x14ac:dyDescent="0.2">
      <c r="A14">
        <v>139</v>
      </c>
      <c r="B14">
        <v>5977</v>
      </c>
      <c r="C14" s="1">
        <v>5545.08</v>
      </c>
      <c r="D14" s="1">
        <v>2100.14</v>
      </c>
      <c r="E14" s="1">
        <v>913.39</v>
      </c>
      <c r="F14" s="1">
        <v>16</v>
      </c>
      <c r="G14">
        <f t="shared" si="0"/>
        <v>346.5675</v>
      </c>
      <c r="H14">
        <f t="shared" si="1"/>
        <v>131.25874999999999</v>
      </c>
      <c r="I14">
        <f t="shared" si="2"/>
        <v>57.086874999999999</v>
      </c>
    </row>
    <row r="18" spans="1:10" x14ac:dyDescent="0.2">
      <c r="A18" s="2" t="s">
        <v>3</v>
      </c>
      <c r="B18" s="2" t="s">
        <v>8</v>
      </c>
      <c r="C18" s="2" t="s">
        <v>9</v>
      </c>
      <c r="D18" s="2" t="s">
        <v>10</v>
      </c>
      <c r="G18" s="2" t="s">
        <v>4</v>
      </c>
      <c r="H18" s="2" t="s">
        <v>8</v>
      </c>
      <c r="I18" s="2" t="s">
        <v>9</v>
      </c>
      <c r="J18" s="2" t="s">
        <v>10</v>
      </c>
    </row>
    <row r="19" spans="1:10" x14ac:dyDescent="0.2">
      <c r="A19">
        <v>5</v>
      </c>
      <c r="B19">
        <v>0.503</v>
      </c>
      <c r="C19">
        <v>0.13999999999999999</v>
      </c>
      <c r="D19">
        <v>0.20299999999999999</v>
      </c>
      <c r="G19">
        <v>215</v>
      </c>
      <c r="H19">
        <v>0.503</v>
      </c>
      <c r="I19">
        <v>0.13999999999999999</v>
      </c>
      <c r="J19">
        <v>0.20299999999999999</v>
      </c>
    </row>
    <row r="20" spans="1:10" x14ac:dyDescent="0.2">
      <c r="A20">
        <v>10</v>
      </c>
      <c r="B20">
        <v>1.4892307692307691</v>
      </c>
      <c r="C20">
        <v>0.49615384615384617</v>
      </c>
      <c r="D20">
        <v>0.65307692307692311</v>
      </c>
      <c r="G20">
        <v>430</v>
      </c>
      <c r="H20">
        <v>1.4892307692307691</v>
      </c>
      <c r="I20">
        <v>0.49615384615384617</v>
      </c>
      <c r="J20">
        <v>0.65307692307692311</v>
      </c>
    </row>
    <row r="21" spans="1:10" x14ac:dyDescent="0.2">
      <c r="A21">
        <v>20</v>
      </c>
      <c r="B21">
        <v>5.8785714285714281</v>
      </c>
      <c r="C21">
        <v>2.34</v>
      </c>
      <c r="D21">
        <v>2.1871428571428573</v>
      </c>
      <c r="G21">
        <v>860</v>
      </c>
      <c r="H21">
        <v>5.8785714285714281</v>
      </c>
      <c r="I21">
        <v>2.34</v>
      </c>
      <c r="J21">
        <v>2.1871428571428573</v>
      </c>
    </row>
    <row r="22" spans="1:10" x14ac:dyDescent="0.2">
      <c r="A22">
        <v>32</v>
      </c>
      <c r="B22">
        <v>14.902142857142858</v>
      </c>
      <c r="C22">
        <v>6.4392857142857149</v>
      </c>
      <c r="D22">
        <v>4.6692857142857145</v>
      </c>
      <c r="G22">
        <v>1376</v>
      </c>
      <c r="H22">
        <v>14.902142857142858</v>
      </c>
      <c r="I22">
        <v>6.4392857142857149</v>
      </c>
      <c r="J22">
        <v>4.6692857142857145</v>
      </c>
    </row>
    <row r="23" spans="1:10" x14ac:dyDescent="0.2">
      <c r="A23">
        <v>47</v>
      </c>
      <c r="B23">
        <v>33.301333333333332</v>
      </c>
      <c r="C23">
        <v>14.696</v>
      </c>
      <c r="D23">
        <v>9.0220000000000002</v>
      </c>
      <c r="G23">
        <v>2021</v>
      </c>
      <c r="H23">
        <v>33.301333333333332</v>
      </c>
      <c r="I23">
        <v>14.696</v>
      </c>
      <c r="J23">
        <v>9.0220000000000002</v>
      </c>
    </row>
    <row r="24" spans="1:10" x14ac:dyDescent="0.2">
      <c r="A24">
        <v>76</v>
      </c>
      <c r="B24">
        <v>86.933529411764695</v>
      </c>
      <c r="C24">
        <v>33.411176470588238</v>
      </c>
      <c r="D24">
        <v>21.537647058823527</v>
      </c>
      <c r="G24">
        <v>3268</v>
      </c>
      <c r="H24">
        <v>86.933529411764695</v>
      </c>
      <c r="I24">
        <v>33.411176470588238</v>
      </c>
      <c r="J24">
        <v>21.537647058823527</v>
      </c>
    </row>
    <row r="25" spans="1:10" x14ac:dyDescent="0.2">
      <c r="A25">
        <v>100</v>
      </c>
      <c r="B25">
        <v>168.31687500000001</v>
      </c>
      <c r="C25">
        <v>68.290000000000006</v>
      </c>
      <c r="D25">
        <v>33.678125000000001</v>
      </c>
      <c r="G25">
        <v>4300</v>
      </c>
      <c r="H25">
        <v>168.31687500000001</v>
      </c>
      <c r="I25">
        <v>68.290000000000006</v>
      </c>
      <c r="J25">
        <v>33.678125000000001</v>
      </c>
    </row>
    <row r="26" spans="1:10" x14ac:dyDescent="0.2">
      <c r="A26">
        <v>139</v>
      </c>
      <c r="B26">
        <v>346.5675</v>
      </c>
      <c r="C26">
        <v>131.25874999999999</v>
      </c>
      <c r="D26">
        <v>57.086874999999999</v>
      </c>
      <c r="G26">
        <v>5977</v>
      </c>
      <c r="H26">
        <v>346.5675</v>
      </c>
      <c r="I26">
        <v>131.25874999999999</v>
      </c>
      <c r="J26">
        <v>57.086874999999999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def2-SVP</vt:lpstr>
      <vt:lpstr>def2-TZVP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Sharma</dc:creator>
  <cp:lastModifiedBy>Manas Sharma</cp:lastModifiedBy>
  <dcterms:created xsi:type="dcterms:W3CDTF">2025-08-12T12:34:35Z</dcterms:created>
  <dcterms:modified xsi:type="dcterms:W3CDTF">2026-05-13T03:16:37Z</dcterms:modified>
</cp:coreProperties>
</file>