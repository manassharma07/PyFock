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ed30562ee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74ac16dc9245c5"/>
    <x:sheet xmlns:r="http://schemas.openxmlformats.org/officeDocument/2006/relationships" name="Results" sheetId="2" r:id="Ra67f183ae8fb4546"/>
    <x:sheet xmlns:r="http://schemas.openxmlformats.org/officeDocument/2006/relationships" name="Methods" sheetId="3" r:id="Ra667965d970c41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000"/>
    <x:numFmt numFmtId="201" formatCode="0.000"/>
    <x:numFmt numFmtId="202" formatCode="0"/>
    <x:numFmt numFmtId="203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6B87"/>
      </x:patternFill>
    </x:fill>
    <x:fill>
      <x:patternFill patternType="solid">
        <x:fgColor rgb="FFF4F7FA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1c39808844846" /><Relationship Type="http://schemas.openxmlformats.org/officeDocument/2006/relationships/theme" Target="/xl/theme/theme1.xml" Id="Rcfa300d1f5dc4278" /><Relationship Type="http://schemas.openxmlformats.org/officeDocument/2006/relationships/sharedStrings" Target="/xl/sharedStrings.xml" Id="R0b9cabb31fc64e25" /><Relationship Type="http://schemas.openxmlformats.org/officeDocument/2006/relationships/worksheet" Target="/xl/worksheets/sheet1.xml" Id="R3974ac16dc9245c5" /><Relationship Type="http://schemas.openxmlformats.org/officeDocument/2006/relationships/worksheet" Target="/xl/worksheets/sheet2.xml" Id="Ra67f183ae8fb4546" /><Relationship Type="http://schemas.openxmlformats.org/officeDocument/2006/relationships/worksheet" Target="/xl/worksheets/sheet3.xml" Id="Ra667965d970c41ab" /></Relationships>
</file>

<file path=xl/tables/table1.xml><?xml version="1.0" encoding="utf-8"?>
<x:table xmlns:x="http://schemas.openxmlformats.org/spreadsheetml/2006/main" id="1" name="S22Results" displayName="S22Results" ref="A1:O23" headerRowCount="1" totalsRowCount="0" totalsRowShown="0">
  <x:tableColumns count="15">
    <x:tableColumn id="1" name="System"/>
    <x:tableColumn id="2" name="N atoms"/>
    <x:tableColumn id="3" name="N basis functions"/>
    <x:tableColumn id="4" name="PyFock energy (Eₕ)"/>
    <x:tableColumn id="5" name="PySCF energy (Eₕ)"/>
    <x:tableColumn id="6" name="Signed deviation (Eₕ)"/>
    <x:tableColumn id="7" name="Absolute deviation (Eₕ)"/>
    <x:tableColumn id="8" name="PyFock iterations"/>
    <x:tableColumn id="9" name="PySCF iterations"/>
    <x:tableColumn id="10" name="PyFock wall time (s)"/>
    <x:tableColumn id="11" name="PySCF wall time (s)"/>
    <x:tableColumn id="12" name="PyFock time / iteration (s)"/>
    <x:tableColumn id="13" name="PySCF time / iteration (s)"/>
    <x:tableColumn id="14" name="PyFock converged"/>
    <x:tableColumn id="15" name="PySCF converg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48f1019fb44a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0" hidden="0" customWidth="1"/>
    <x:col min="3" max="3" width="3" hidden="0" customWidth="1"/>
    <x:col min="4" max="4" width="42" hidden="0" customWidth="1"/>
    <x:col min="5" max="5" width="20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15" t="str">
        <x:v>S22 numerical reproducibility — def2-TZVP (SAO/spherical)</x:v>
      </x:c>
      <x:c r="B1" s="15"/>
      <x:c r="C1" s="15"/>
      <x:c r="D1" s="15"/>
      <x:c r="E1" s="15"/>
      <x:c r="F1" s="15"/>
      <x:c r="G1" s="15"/>
      <x:c r="H1" s="15"/>
    </x:row>
    <x:row r="2">
      <x:c r="A2" s="15"/>
      <x:c r="B2" s="15"/>
      <x:c r="C2" s="15"/>
      <x:c r="D2" s="15"/>
      <x:c r="E2" s="15"/>
      <x:c r="F2" s="15"/>
      <x:c r="G2" s="15"/>
      <x:c r="H2" s="15"/>
    </x:row>
    <x:row r="4">
      <x:c r="A4" s="17" t="str">
        <x:v>Accuracy statistic</x:v>
      </x:c>
      <x:c r="B4" s="17" t="str">
        <x:v>Value</x:v>
      </x:c>
      <x:c r="D4" s="17" t="str">
        <x:v>Timing / convergence statistic</x:v>
      </x:c>
      <x:c r="E4" s="17" t="str">
        <x:v>Value</x:v>
      </x:c>
    </x:row>
    <x:row r="5">
      <x:c r="A5" s="18" t="str">
        <x:v>RMSE (μEₕ)</x:v>
      </x:c>
      <x:c r="B5" s="19" t="n">
        <x:f>SQRT(SUMSQ('Results'!F2:F23)/COUNT('Results'!F2:F23))*1000000</x:f>
        <x:v>0.08296673063942835</x:v>
      </x:c>
      <x:c r="D5" s="18" t="str">
        <x:v>Systems evaluated</x:v>
      </x:c>
      <x:c r="E5" s="5" t="n">
        <x:f>COUNTA('Results'!A2:A23)</x:f>
        <x:v>22</x:v>
      </x:c>
    </x:row>
    <x:row r="6">
      <x:c r="A6" s="18" t="str">
        <x:v>MAE (μEₕ)</x:v>
      </x:c>
      <x:c r="B6" s="19" t="n">
        <x:f>AVERAGE('Results'!G2:G23)*1000000</x:f>
        <x:v>0.04974720401275012</x:v>
      </x:c>
      <x:c r="D6" s="18" t="str">
        <x:v>Total PyFock wall time (s)</x:v>
      </x:c>
      <x:c r="E6" s="7" t="n">
        <x:f>SUM('Results'!J2:J23)</x:f>
        <x:v>848.9499999999998</x:v>
      </x:c>
    </x:row>
    <x:row r="7">
      <x:c r="A7" s="18" t="str">
        <x:v>Mean signed error (μEₕ)</x:v>
      </x:c>
      <x:c r="B7" s="19" t="n">
        <x:f>AVERAGE('Results'!F2:F23)*1000000</x:f>
        <x:v>-0.0074221110873457456</x:v>
      </x:c>
      <x:c r="D7" s="18" t="str">
        <x:v>Total PySCF wall time (s)</x:v>
      </x:c>
      <x:c r="E7" s="7" t="n">
        <x:f>SUM('Results'!K2:K23)</x:f>
        <x:v>890.112457333</x:v>
      </x:c>
    </x:row>
    <x:row r="8">
      <x:c r="A8" s="18" t="str">
        <x:v>Median absolute error (μEₕ)</x:v>
      </x:c>
      <x:c r="B8" s="19" t="n">
        <x:f>MEDIAN('Results'!G2:G23)*1000000</x:f>
        <x:v>0.015937146713440598</x:v>
      </x:c>
      <x:c r="D8" s="18" t="str">
        <x:v>Overall wall-time ratio (PySCF / PyFock)</x:v>
      </x:c>
      <x:c r="E8" s="7" t="n">
        <x:f>E7/E6</x:f>
        <x:v>1.0484863152517818</x:v>
      </x:c>
    </x:row>
    <x:row r="9">
      <x:c r="A9" s="18" t="str">
        <x:v>95th percentile absolute error (μEₕ)</x:v>
      </x:c>
      <x:c r="B9" s="19" t="n">
        <x:f>PERCENTILE.INC('Results'!G2:G23,0.95)*1000000</x:f>
        <x:v>0.17272125000000002</x:v>
      </x:c>
      <x:c r="D9" s="18" t="str">
        <x:v>Mean PyFock time / iteration (s)</x:v>
      </x:c>
      <x:c r="E9" s="7" t="n">
        <x:f>AVERAGE('Results'!L2:L23)</x:f>
        <x:v>3.5554560515242333</x:v>
      </x:c>
    </x:row>
    <x:row r="10">
      <x:c r="A10" s="18" t="str">
        <x:v>Maximum absolute deviation (μEₕ)</x:v>
      </x:c>
      <x:c r="B10" s="19" t="n">
        <x:f>MAX('Results'!G2:G23)*1000000</x:f>
        <x:v>0.270044665739988</x:v>
      </x:c>
      <x:c r="D10" s="18" t="str">
        <x:v>Mean PySCF time / iteration (s)</x:v>
      </x:c>
      <x:c r="E10" s="7" t="n">
        <x:f>AVERAGE('Results'!M2:M23)</x:f>
        <x:v>3.557157176022755</x:v>
      </x:c>
    </x:row>
    <x:row r="11">
      <x:c r="A11" s="18" t="str">
        <x:v>Maximum-deviation system</x:v>
      </x:c>
      <x:c r="B11" s="5" t="str">
        <x:f>INDEX('Results'!A2:A23,MATCH(MAX('Results'!G2:G23),'Results'!G2:G23,0))</x:f>
        <x:v>adenine_thymine_wcc1</x:v>
      </x:c>
      <x:c r="D11" s="18" t="str">
        <x:v>All PyFock calculations converged</x:v>
      </x:c>
      <x:c r="E11" s="5" t="str">
        <x:f>IF(COUNTIF('Results'!N2:N23,"Yes")=COUNTA('Results'!A2:A23),"Yes","No")</x:f>
        <x:v>Yes</x:v>
      </x:c>
    </x:row>
    <x:row r="12">
      <x:c r="A12" s="18" t="str">
        <x:v>R²</x:v>
      </x:c>
      <x:c r="B12" s="6" t="n">
        <x:f>RSQ('Results'!D2:D23,'Results'!E2:E23)</x:f>
        <x:v>1</x:v>
      </x:c>
      <x:c r="D12" s="18" t="str">
        <x:v>All PySCF calculations converged</x:v>
      </x:c>
      <x:c r="E12" s="5" t="str">
        <x:f>IF(COUNTIF('Results'!O2:O23,"Yes")=COUNTA('Results'!A2:A23),"Yes","No")</x:f>
        <x:v>Yes</x:v>
      </x:c>
    </x:row>
    <x:row r="14">
      <x:c r="A14" s="21" t="str">
        <x:v>Publication figure supplied alongside workbook (600 dpi PNG and vector PDF)</x:v>
      </x:c>
      <x:c r="B14" s="21"/>
      <x:c r="C14" s="21"/>
      <x:c r="D14" s="21"/>
      <x:c r="E14" s="21"/>
      <x:c r="F14" s="21"/>
      <x:c r="G14" s="21"/>
      <x:c r="H14" s="21"/>
    </x:row>
  </x:sheetData>
  <x:mergeCells>
    <x:mergeCell ref="A1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5" hidden="0" customWidth="1"/>
    <x:col min="9" max="9" width="15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7" hidden="0" customWidth="1"/>
    <x:col min="15" max="15" width="17" hidden="0" customWidth="1"/>
  </x:cols>
  <x:sheetData>
    <x:row r="1" ht="38" customHeight="1">
      <x:c r="A1" s="4" t="str">
        <x:v>System</x:v>
      </x:c>
      <x:c r="B1" s="4" t="str">
        <x:v>N atoms</x:v>
      </x:c>
      <x:c r="C1" s="4" t="str">
        <x:v>N basis functions</x:v>
      </x:c>
      <x:c r="D1" s="4" t="str">
        <x:v>PyFock energy (Eₕ)</x:v>
      </x:c>
      <x:c r="E1" s="4" t="str">
        <x:v>PySCF energy (Eₕ)</x:v>
      </x:c>
      <x:c r="F1" s="4" t="str">
        <x:v>Signed deviation (Eₕ)</x:v>
      </x:c>
      <x:c r="G1" s="4" t="str">
        <x:v>Absolute deviation (Eₕ)</x:v>
      </x:c>
      <x:c r="H1" s="4" t="str">
        <x:v>PyFock iterations</x:v>
      </x:c>
      <x:c r="I1" s="4" t="str">
        <x:v>PySCF iterations</x:v>
      </x:c>
      <x:c r="J1" s="4" t="str">
        <x:v>PyFock wall time (s)</x:v>
      </x:c>
      <x:c r="K1" s="4" t="str">
        <x:v>PySCF wall time (s)</x:v>
      </x:c>
      <x:c r="L1" s="4" t="str">
        <x:v>PyFock time / iteration (s)</x:v>
      </x:c>
      <x:c r="M1" s="4" t="str">
        <x:v>PySCF time / iteration (s)</x:v>
      </x:c>
      <x:c r="N1" s="4" t="str">
        <x:v>PyFock converged</x:v>
      </x:c>
      <x:c r="O1" s="4" t="str">
        <x:v>PySCF converged</x:v>
      </x:c>
    </x:row>
    <x:row r="2">
      <x:c r="A2" s="5" t="str">
        <x:v>adenine_thymine_stack</x:v>
      </x:c>
      <x:c r="B2" s="9" t="n">
        <x:v>30</x:v>
      </x:c>
      <x:c r="C2" s="9" t="n">
        <x:v>655</x:v>
      </x:c>
      <x:c r="D2" s="10" t="n">
        <x:v>-920.7772602343348</x:v>
      </x:c>
      <x:c r="E2" s="10" t="n">
        <x:v>-920.7772602679329</x:v>
      </x:c>
      <x:c r="F2" s="10" t="n">
        <x:f>D2-E2</x:f>
        <x:v>3.359809852554463e-8</x:v>
      </x:c>
      <x:c r="G2" s="10" t="n">
        <x:f>ABS(F2)</x:f>
        <x:v>3.359809852554463e-8</x:v>
      </x:c>
      <x:c r="H2" s="9" t="n">
        <x:v>15</x:v>
      </x:c>
      <x:c r="I2" s="9" t="n">
        <x:v>14</x:v>
      </x:c>
      <x:c r="J2" s="11" t="n">
        <x:v>122.21</x:v>
      </x:c>
      <x:c r="K2" s="11" t="n">
        <x:v>127.115649083</x:v>
      </x:c>
      <x:c r="L2" s="11" t="n">
        <x:f>J2/H2</x:f>
        <x:v>8.147333333333332</x:v>
      </x:c>
      <x:c r="M2" s="11" t="n">
        <x:f>K2/I2</x:f>
        <x:v>9.079689220214286</x:v>
      </x:c>
      <x:c r="N2" s="12" t="str">
        <x:v>Yes</x:v>
      </x:c>
      <x:c r="O2" s="12" t="str">
        <x:v>Yes</x:v>
      </x:c>
    </x:row>
    <x:row r="3">
      <x:c r="A3" s="5" t="str">
        <x:v>adenine_thymine_wcc1</x:v>
      </x:c>
      <x:c r="B3" s="9" t="n">
        <x:v>30</x:v>
      </x:c>
      <x:c r="C3" s="9" t="n">
        <x:v>655</x:v>
      </x:c>
      <x:c r="D3" s="10" t="n">
        <x:v>-920.7972055970733</x:v>
      </x:c>
      <x:c r="E3" s="10" t="n">
        <x:v>-920.797205867118</x:v>
      </x:c>
      <x:c r="F3" s="10" t="n">
        <x:f>D3-E3</x:f>
        <x:v>2.70044665739988e-7</x:v>
      </x:c>
      <x:c r="G3" s="10" t="n">
        <x:f>ABS(F3)</x:f>
        <x:v>2.70044665739988e-7</x:v>
      </x:c>
      <x:c r="H3" s="9" t="n">
        <x:v>13</x:v>
      </x:c>
      <x:c r="I3" s="9" t="n">
        <x:v>14</x:v>
      </x:c>
      <x:c r="J3" s="11" t="n">
        <x:v>99.87</x:v>
      </x:c>
      <x:c r="K3" s="11" t="n">
        <x:v>157.22754679199997</x:v>
      </x:c>
      <x:c r="L3" s="11" t="n">
        <x:f>J3/H3</x:f>
        <x:v>7.682307692307693</x:v>
      </x:c>
      <x:c r="M3" s="11" t="n">
        <x:f>K3/I3</x:f>
        <x:v>11.230539056571427</x:v>
      </x:c>
      <x:c r="N3" s="12" t="str">
        <x:v>Yes</x:v>
      </x:c>
      <x:c r="O3" s="12" t="str">
        <x:v>Yes</x:v>
      </x:c>
    </x:row>
    <x:row r="4">
      <x:c r="A4" s="5" t="str">
        <x:v>c2h4_c2h2</x:v>
      </x:c>
      <x:c r="B4" s="9" t="n">
        <x:v>10</x:v>
      </x:c>
      <x:c r="C4" s="9" t="n">
        <x:v>160</x:v>
      </x:c>
      <x:c r="D4" s="10" t="n">
        <x:v>-155.7536044831561</x:v>
      </x:c>
      <x:c r="E4" s="10" t="n">
        <x:v>-155.75360451114466</x:v>
      </x:c>
      <x:c r="F4" s="10" t="n">
        <x:f>D4-E4</x:f>
        <x:v>2.798856257868465e-8</x:v>
      </x:c>
      <x:c r="G4" s="10" t="n">
        <x:f>ABS(F4)</x:f>
        <x:v>2.798856257868465e-8</x:v>
      </x:c>
      <x:c r="H4" s="9" t="n">
        <x:v>8</x:v>
      </x:c>
      <x:c r="I4" s="9" t="n">
        <x:v>8</x:v>
      </x:c>
      <x:c r="J4" s="11" t="n">
        <x:v>4.47</x:v>
      </x:c>
      <x:c r="K4" s="11" t="n">
        <x:v>2.9777007919999505</x:v>
      </x:c>
      <x:c r="L4" s="11" t="n">
        <x:f>J4/H4</x:f>
        <x:v>0.55875</x:v>
      </x:c>
      <x:c r="M4" s="11" t="n">
        <x:f>K4/I4</x:f>
        <x:v>0.3722125989999938</x:v>
      </x:c>
      <x:c r="N4" s="12" t="str">
        <x:v>Yes</x:v>
      </x:c>
      <x:c r="O4" s="12" t="str">
        <x:v>Yes</x:v>
      </x:c>
    </x:row>
    <x:row r="5">
      <x:c r="A5" s="5" t="str">
        <x:v>c2h4_c2h4</x:v>
      </x:c>
      <x:c r="B5" s="9" t="n">
        <x:v>12</x:v>
      </x:c>
      <x:c r="C5" s="9" t="n">
        <x:v>172</x:v>
      </x:c>
      <x:c r="D5" s="10" t="n">
        <x:v>-157.0011341188266</x:v>
      </x:c>
      <x:c r="E5" s="10" t="n">
        <x:v>-157.00113410649502</x:v>
      </x:c>
      <x:c r="F5" s="10" t="n">
        <x:f>D5-E5</x:f>
        <x:v>-1.233158286595426e-8</x:v>
      </x:c>
      <x:c r="G5" s="10" t="n">
        <x:f>ABS(F5)</x:f>
        <x:v>1.233158286595426e-8</x:v>
      </x:c>
      <x:c r="H5" s="9" t="n">
        <x:v>7</x:v>
      </x:c>
      <x:c r="I5" s="9" t="n">
        <x:v>7</x:v>
      </x:c>
      <x:c r="J5" s="11" t="n">
        <x:v>5.15</x:v>
      </x:c>
      <x:c r="K5" s="11" t="n">
        <x:v>3.5576049579999562</x:v>
      </x:c>
      <x:c r="L5" s="11" t="n">
        <x:f>J5/H5</x:f>
        <x:v>0.7357142857142858</x:v>
      </x:c>
      <x:c r="M5" s="11" t="n">
        <x:f>K5/I5</x:f>
        <x:v>0.5082292797142794</x:v>
      </x:c>
      <x:c r="N5" s="12" t="str">
        <x:v>Yes</x:v>
      </x:c>
      <x:c r="O5" s="12" t="str">
        <x:v>Yes</x:v>
      </x:c>
    </x:row>
    <x:row r="6">
      <x:c r="A6" s="5" t="str">
        <x:v>c6h6_c6h6_pd</x:v>
      </x:c>
      <x:c r="B6" s="9" t="n">
        <x:v>24</x:v>
      </x:c>
      <x:c r="C6" s="9" t="n">
        <x:v>444</x:v>
      </x:c>
      <x:c r="D6" s="10" t="n">
        <x:v>-464.0353280940741</x:v>
      </x:c>
      <x:c r="E6" s="10" t="n">
        <x:v>-464.0353280873188</x:v>
      </x:c>
      <x:c r="F6" s="10" t="n">
        <x:f>D6-E6</x:f>
        <x:v>-6.7552718974184245e-9</x:v>
      </x:c>
      <x:c r="G6" s="10" t="n">
        <x:f>ABS(F6)</x:f>
        <x:v>6.7552718974184245e-9</x:v>
      </x:c>
      <x:c r="H6" s="9" t="n">
        <x:v>9</x:v>
      </x:c>
      <x:c r="I6" s="9" t="n">
        <x:v>9</x:v>
      </x:c>
      <x:c r="J6" s="11" t="n">
        <x:v>44.4</x:v>
      </x:c>
      <x:c r="K6" s="11" t="n">
        <x:v>41.00415929199994</x:v>
      </x:c>
      <x:c r="L6" s="11" t="n">
        <x:f>J6/H6</x:f>
        <x:v>4.933333333333334</x:v>
      </x:c>
      <x:c r="M6" s="11" t="n">
        <x:f>K6/I6</x:f>
        <x:v>4.556017699111105</x:v>
      </x:c>
      <x:c r="N6" s="12" t="str">
        <x:v>Yes</x:v>
      </x:c>
      <x:c r="O6" s="12" t="str">
        <x:v>Yes</x:v>
      </x:c>
    </x:row>
    <x:row r="7">
      <x:c r="A7" s="5" t="str">
        <x:v>c6h6_c6h6_t</x:v>
      </x:c>
      <x:c r="B7" s="9" t="n">
        <x:v>24</x:v>
      </x:c>
      <x:c r="C7" s="9" t="n">
        <x:v>444</x:v>
      </x:c>
      <x:c r="D7" s="10" t="n">
        <x:v>-464.0384604471842</x:v>
      </x:c>
      <x:c r="E7" s="10" t="n">
        <x:v>-464.03846040005317</x:v>
      </x:c>
      <x:c r="F7" s="10" t="n">
        <x:f>D7-E7</x:f>
        <x:v>-4.7131038627412636e-8</x:v>
      </x:c>
      <x:c r="G7" s="10" t="n">
        <x:f>ABS(F7)</x:f>
        <x:v>4.7131038627412636e-8</x:v>
      </x:c>
      <x:c r="H7" s="9" t="n">
        <x:v>9</x:v>
      </x:c>
      <x:c r="I7" s="9" t="n">
        <x:v>9</x:v>
      </x:c>
      <x:c r="J7" s="11" t="n">
        <x:v>55.5</x:v>
      </x:c>
      <x:c r="K7" s="11" t="n">
        <x:v>39.53063312500001</x:v>
      </x:c>
      <x:c r="L7" s="11" t="n">
        <x:f>J7/H7</x:f>
        <x:v>6.166666666666667</x:v>
      </x:c>
      <x:c r="M7" s="11" t="n">
        <x:f>K7/I7</x:f>
        <x:v>4.392292569444446</x:v>
      </x:c>
      <x:c r="N7" s="12" t="str">
        <x:v>Yes</x:v>
      </x:c>
      <x:c r="O7" s="12" t="str">
        <x:v>Yes</x:v>
      </x:c>
    </x:row>
    <x:row r="8">
      <x:c r="A8" s="5" t="str">
        <x:v>c6h6_ch4</x:v>
      </x:c>
      <x:c r="B8" s="9" t="n">
        <x:v>17</x:v>
      </x:c>
      <x:c r="C8" s="9" t="n">
        <x:v>277</x:v>
      </x:c>
      <x:c r="D8" s="10" t="n">
        <x:v>-272.4819552507206</x:v>
      </x:c>
      <x:c r="E8" s="10" t="n">
        <x:v>-272.4819552373051</x:v>
      </x:c>
      <x:c r="F8" s="10" t="n">
        <x:f>D8-E8</x:f>
        <x:v>-1.3415501598501578e-8</x:v>
      </x:c>
      <x:c r="G8" s="10" t="n">
        <x:f>ABS(F8)</x:f>
        <x:v>1.3415501598501578e-8</x:v>
      </x:c>
      <x:c r="H8" s="9" t="n">
        <x:v>7</x:v>
      </x:c>
      <x:c r="I8" s="9" t="n">
        <x:v>7</x:v>
      </x:c>
      <x:c r="J8" s="11" t="n">
        <x:v>15.59</x:v>
      </x:c>
      <x:c r="K8" s="11" t="n">
        <x:v>10.926758458000108</x:v>
      </x:c>
      <x:c r="L8" s="11" t="n">
        <x:f>J8/H8</x:f>
        <x:v>2.2271428571428573</x:v>
      </x:c>
      <x:c r="M8" s="11" t="n">
        <x:f>K8/I8</x:f>
        <x:v>1.5609654940000155</x:v>
      </x:c>
      <x:c r="N8" s="12" t="str">
        <x:v>Yes</x:v>
      </x:c>
      <x:c r="O8" s="12" t="str">
        <x:v>Yes</x:v>
      </x:c>
    </x:row>
    <x:row r="9">
      <x:c r="A9" s="5" t="str">
        <x:v>c6h6_h2o</x:v>
      </x:c>
      <x:c r="B9" s="9" t="n">
        <x:v>15</x:v>
      </x:c>
      <x:c r="C9" s="9" t="n">
        <x:v>265</x:v>
      </x:c>
      <x:c r="D9" s="10" t="n">
        <x:v>-308.4004946618335</x:v>
      </x:c>
      <x:c r="E9" s="10" t="n">
        <x:v>-308.40049464765264</x:v>
      </x:c>
      <x:c r="F9" s="10" t="n">
        <x:f>D9-E9</x:f>
        <x:v>-1.4180841390043497e-8</x:v>
      </x:c>
      <x:c r="G9" s="10" t="n">
        <x:f>ABS(F9)</x:f>
        <x:v>1.4180841390043497e-8</x:v>
      </x:c>
      <x:c r="H9" s="9" t="n">
        <x:v>9</x:v>
      </x:c>
      <x:c r="I9" s="9" t="n">
        <x:v>9</x:v>
      </x:c>
      <x:c r="J9" s="11" t="n">
        <x:v>14.61</x:v>
      </x:c>
      <x:c r="K9" s="11" t="n">
        <x:v>11.582619625000007</x:v>
      </x:c>
      <x:c r="L9" s="11" t="n">
        <x:f>J9/H9</x:f>
        <x:v>1.6233333333333333</x:v>
      </x:c>
      <x:c r="M9" s="11" t="n">
        <x:f>K9/I9</x:f>
        <x:v>1.2869577361111117</x:v>
      </x:c>
      <x:c r="N9" s="12" t="str">
        <x:v>Yes</x:v>
      </x:c>
      <x:c r="O9" s="12" t="str">
        <x:v>Yes</x:v>
      </x:c>
    </x:row>
    <x:row r="10">
      <x:c r="A10" s="5" t="str">
        <x:v>c6h6_hcn</x:v>
      </x:c>
      <x:c r="B10" s="9" t="n">
        <x:v>15</x:v>
      </x:c>
      <x:c r="C10" s="9" t="n">
        <x:v>290</x:v>
      </x:c>
      <x:c r="D10" s="10" t="n">
        <x:v>-325.3708529028906</x:v>
      </x:c>
      <x:c r="E10" s="10" t="n">
        <x:v>-325.3708529132313</x:v>
      </x:c>
      <x:c r="F10" s="10" t="n">
        <x:f>D10-E10</x:f>
        <x:v>1.0340727385482751e-8</x:v>
      </x:c>
      <x:c r="G10" s="10" t="n">
        <x:f>ABS(F10)</x:f>
        <x:v>1.0340727385482751e-8</x:v>
      </x:c>
      <x:c r="H10" s="9" t="n">
        <x:v>9</x:v>
      </x:c>
      <x:c r="I10" s="9" t="n">
        <x:v>10</x:v>
      </x:c>
      <x:c r="J10" s="11" t="n">
        <x:v>17.59</x:v>
      </x:c>
      <x:c r="K10" s="11" t="n">
        <x:v>14.93259224999997</x:v>
      </x:c>
      <x:c r="L10" s="11" t="n">
        <x:f>J10/H10</x:f>
        <x:v>1.9544444444444444</x:v>
      </x:c>
      <x:c r="M10" s="11" t="n">
        <x:f>K10/I10</x:f>
        <x:v>1.493259224999997</x:v>
      </x:c>
      <x:c r="N10" s="12" t="str">
        <x:v>Yes</x:v>
      </x:c>
      <x:c r="O10" s="12" t="str">
        <x:v>Yes</x:v>
      </x:c>
    </x:row>
    <x:row r="11">
      <x:c r="A11" s="5" t="str">
        <x:v>c6h6_nh3</x:v>
      </x:c>
      <x:c r="B11" s="9" t="n">
        <x:v>16</x:v>
      </x:c>
      <x:c r="C11" s="9" t="n">
        <x:v>271</x:v>
      </x:c>
      <x:c r="D11" s="10" t="n">
        <x:v>-288.52906123717935</x:v>
      </x:c>
      <x:c r="E11" s="10" t="n">
        <x:v>-288.5290612318654</x:v>
      </x:c>
      <x:c r="F11" s="10" t="n">
        <x:f>D11-E11</x:f>
        <x:v>-5.3139501687837765e-9</x:v>
      </x:c>
      <x:c r="G11" s="10" t="n">
        <x:f>ABS(F11)</x:f>
        <x:v>5.3139501687837765e-9</x:v>
      </x:c>
      <x:c r="H11" s="9" t="n">
        <x:v>8</x:v>
      </x:c>
      <x:c r="I11" s="9" t="n">
        <x:v>8</x:v>
      </x:c>
      <x:c r="J11" s="11" t="n">
        <x:v>14.82</x:v>
      </x:c>
      <x:c r="K11" s="11" t="n">
        <x:v>12.053067209000005</x:v>
      </x:c>
      <x:c r="L11" s="11" t="n">
        <x:f>J11/H11</x:f>
        <x:v>1.8525</x:v>
      </x:c>
      <x:c r="M11" s="11" t="n">
        <x:f>K11/I11</x:f>
        <x:v>1.5066334011250007</x:v>
      </x:c>
      <x:c r="N11" s="12" t="str">
        <x:v>Yes</x:v>
      </x:c>
      <x:c r="O11" s="12" t="str">
        <x:v>Yes</x:v>
      </x:c>
    </x:row>
    <x:row r="12">
      <x:c r="A12" s="5" t="str">
        <x:v>ch4_ch4</x:v>
      </x:c>
      <x:c r="B12" s="9" t="n">
        <x:v>10</x:v>
      </x:c>
      <x:c r="C12" s="9" t="n">
        <x:v>110</x:v>
      </x:c>
      <x:c r="D12" s="10" t="n">
        <x:v>-80.92612422255877</x:v>
      </x:c>
      <x:c r="E12" s="10" t="n">
        <x:v>-80.92612422057806</x:v>
      </x:c>
      <x:c r="F12" s="10" t="n">
        <x:f>D12-E12</x:f>
        <x:v>-1.9807089302048553e-9</x:v>
      </x:c>
      <x:c r="G12" s="10" t="n">
        <x:f>ABS(F12)</x:f>
        <x:v>1.9807089302048553e-9</x:v>
      </x:c>
      <x:c r="H12" s="9" t="n">
        <x:v>6</x:v>
      </x:c>
      <x:c r="I12" s="9" t="n">
        <x:v>7</x:v>
      </x:c>
      <x:c r="J12" s="11" t="n">
        <x:v>2.05</x:v>
      </x:c>
      <x:c r="K12" s="11" t="n">
        <x:v>1.8341238750000457</x:v>
      </x:c>
      <x:c r="L12" s="11" t="n">
        <x:f>J12/H12</x:f>
        <x:v>0.3416666666666666</x:v>
      </x:c>
      <x:c r="M12" s="11" t="n">
        <x:f>K12/I12</x:f>
        <x:v>0.262017696428578</x:v>
      </x:c>
      <x:c r="N12" s="12" t="str">
        <x:v>Yes</x:v>
      </x:c>
      <x:c r="O12" s="12" t="str">
        <x:v>Yes</x:v>
      </x:c>
    </x:row>
    <x:row r="13">
      <x:c r="A13" s="5" t="str">
        <x:v>formamide_formamide</x:v>
      </x:c>
      <x:c r="B13" s="9" t="n">
        <x:v>12</x:v>
      </x:c>
      <x:c r="C13" s="9" t="n">
        <x:v>222</x:v>
      </x:c>
      <x:c r="D13" s="10" t="n">
        <x:v>-339.5778229393274</x:v>
      </x:c>
      <x:c r="E13" s="10" t="n">
        <x:v>-339.5778229276521</x:v>
      </x:c>
      <x:c r="F13" s="10" t="n">
        <x:f>D13-E13</x:f>
        <x:v>-1.1675297173496801e-8</x:v>
      </x:c>
      <x:c r="G13" s="10" t="n">
        <x:f>ABS(F13)</x:f>
        <x:v>1.1675297173496801e-8</x:v>
      </x:c>
      <x:c r="H13" s="9" t="n">
        <x:v>9</x:v>
      </x:c>
      <x:c r="I13" s="9" t="n">
        <x:v>9</x:v>
      </x:c>
      <x:c r="J13" s="11" t="n">
        <x:v>7.84</x:v>
      </x:c>
      <x:c r="K13" s="11" t="n">
        <x:v>7.120376332999967</x:v>
      </x:c>
      <x:c r="L13" s="11" t="n">
        <x:f>J13/H13</x:f>
        <x:v>0.8711111111111111</x:v>
      </x:c>
      <x:c r="M13" s="11" t="n">
        <x:f>K13/I13</x:f>
        <x:v>0.7911529258888853</x:v>
      </x:c>
      <x:c r="N13" s="12" t="str">
        <x:v>Yes</x:v>
      </x:c>
      <x:c r="O13" s="12" t="str">
        <x:v>Yes</x:v>
      </x:c>
    </x:row>
    <x:row r="14">
      <x:c r="A14" s="5" t="str">
        <x:v>h2co2_h2co2</x:v>
      </x:c>
      <x:c r="B14" s="9" t="n">
        <x:v>10</x:v>
      </x:c>
      <x:c r="C14" s="9" t="n">
        <x:v>210</x:v>
      </x:c>
      <x:c r="D14" s="10" t="n">
        <x:v>-379.3178517054584</x:v>
      </x:c>
      <x:c r="E14" s="10" t="n">
        <x:v>-379.3178515304886</x:v>
      </x:c>
      <x:c r="F14" s="10" t="n">
        <x:f>D14-E14</x:f>
        <x:v>-1.74969784438872e-7</x:v>
      </x:c>
      <x:c r="G14" s="10" t="n">
        <x:f>ABS(F14)</x:f>
        <x:v>1.74969784438872e-7</x:v>
      </x:c>
      <x:c r="H14" s="9" t="n">
        <x:v>9</x:v>
      </x:c>
      <x:c r="I14" s="9" t="n">
        <x:v>9</x:v>
      </x:c>
      <x:c r="J14" s="11" t="n">
        <x:v>7.12</x:v>
      </x:c>
      <x:c r="K14" s="11" t="n">
        <x:v>5.7985635</x:v>
      </x:c>
      <x:c r="L14" s="11" t="n">
        <x:f>J14/H14</x:f>
        <x:v>0.7911111111111111</x:v>
      </x:c>
      <x:c r="M14" s="11" t="n">
        <x:f>K14/I14</x:f>
        <x:v>0.6442848333333333</x:v>
      </x:c>
      <x:c r="N14" s="12" t="str">
        <x:v>Yes</x:v>
      </x:c>
      <x:c r="O14" s="12" t="str">
        <x:v>Yes</x:v>
      </x:c>
    </x:row>
    <x:row r="15">
      <x:c r="A15" s="5" t="str">
        <x:v>h2o_h2o</x:v>
      </x:c>
      <x:c r="B15" s="9" t="n">
        <x:v>6</x:v>
      </x:c>
      <x:c r="C15" s="9" t="n">
        <x:v>86</x:v>
      </x:c>
      <x:c r="D15" s="10" t="n">
        <x:v>-152.76293509348235</x:v>
      </x:c>
      <x:c r="E15" s="10" t="n">
        <x:v>-152.7629350862934</x:v>
      </x:c>
      <x:c r="F15" s="10" t="n">
        <x:f>D15-E15</x:f>
        <x:v>-7.188958761616959e-9</x:v>
      </x:c>
      <x:c r="G15" s="10" t="n">
        <x:f>ABS(F15)</x:f>
        <x:v>7.188958761616959e-9</x:v>
      </x:c>
      <x:c r="H15" s="9" t="n">
        <x:v>8</x:v>
      </x:c>
      <x:c r="I15" s="9" t="n">
        <x:v>8</x:v>
      </x:c>
      <x:c r="J15" s="11" t="n">
        <x:v>1.46</x:v>
      </x:c>
      <x:c r="K15" s="11" t="n">
        <x:v>1.2082639999999856</x:v>
      </x:c>
      <x:c r="L15" s="11" t="n">
        <x:f>J15/H15</x:f>
        <x:v>0.1825</x:v>
      </x:c>
      <x:c r="M15" s="11" t="n">
        <x:f>K15/I15</x:f>
        <x:v>0.1510329999999982</x:v>
      </x:c>
      <x:c r="N15" s="12" t="str">
        <x:v>Yes</x:v>
      </x:c>
      <x:c r="O15" s="12" t="str">
        <x:v>Yes</x:v>
      </x:c>
    </x:row>
    <x:row r="16">
      <x:c r="A16" s="5" t="str">
        <x:v>indole_c6h6_stack</x:v>
      </x:c>
      <x:c r="B16" s="9" t="n">
        <x:v>28</x:v>
      </x:c>
      <x:c r="C16" s="9" t="n">
        <x:v>543</x:v>
      </x:c>
      <x:c r="D16" s="10" t="n">
        <x:v>-595.5059770101552</x:v>
      </x:c>
      <x:c r="E16" s="10" t="n">
        <x:v>-595.5059769678572</x:v>
      </x:c>
      <x:c r="F16" s="10" t="n">
        <x:f>D16-E16</x:f>
        <x:v>-4.2297983782191295e-8</x:v>
      </x:c>
      <x:c r="G16" s="10" t="n">
        <x:f>ABS(F16)</x:f>
        <x:v>4.2297983782191295e-8</x:v>
      </x:c>
      <x:c r="H16" s="9" t="n">
        <x:v>10</x:v>
      </x:c>
      <x:c r="I16" s="9" t="n">
        <x:v>10</x:v>
      </x:c>
      <x:c r="J16" s="11" t="n">
        <x:v>84.42</x:v>
      </x:c>
      <x:c r="K16" s="11" t="n">
        <x:v>77.717734167</x:v>
      </x:c>
      <x:c r="L16" s="11" t="n">
        <x:f>J16/H16</x:f>
        <x:v>8.442</x:v>
      </x:c>
      <x:c r="M16" s="11" t="n">
        <x:f>K16/I16</x:f>
        <x:v>7.7717734167</x:v>
      </x:c>
      <x:c r="N16" s="12" t="str">
        <x:v>Yes</x:v>
      </x:c>
      <x:c r="O16" s="12" t="str">
        <x:v>Yes</x:v>
      </x:c>
    </x:row>
    <x:row r="17">
      <x:c r="A17" s="5" t="str">
        <x:v>indole_c6h6_t</x:v>
      </x:c>
      <x:c r="B17" s="9" t="n">
        <x:v>28</x:v>
      </x:c>
      <x:c r="C17" s="9" t="n">
        <x:v>543</x:v>
      </x:c>
      <x:c r="D17" s="10" t="n">
        <x:v>-595.5129647424296</x:v>
      </x:c>
      <x:c r="E17" s="10" t="n">
        <x:v>-595.5129646915639</x:v>
      </x:c>
      <x:c r="F17" s="10" t="n">
        <x:f>D17-E17</x:f>
        <x:v>-5.0865764933405444e-8</x:v>
      </x:c>
      <x:c r="G17" s="10" t="n">
        <x:f>ABS(F17)</x:f>
        <x:v>5.0865764933405444e-8</x:v>
      </x:c>
      <x:c r="H17" s="9" t="n">
        <x:v>11</x:v>
      </x:c>
      <x:c r="I17" s="9" t="n">
        <x:v>11</x:v>
      </x:c>
      <x:c r="J17" s="11" t="n">
        <x:v>63.17</x:v>
      </x:c>
      <x:c r="K17" s="11" t="n">
        <x:v>68.89945491700007</x:v>
      </x:c>
      <x:c r="L17" s="11" t="n">
        <x:f>J17/H17</x:f>
        <x:v>5.742727272727273</x:v>
      </x:c>
      <x:c r="M17" s="11" t="n">
        <x:f>K17/I17</x:f>
        <x:v>6.26358681063637</x:v>
      </x:c>
      <x:c r="N17" s="12" t="str">
        <x:v>Yes</x:v>
      </x:c>
      <x:c r="O17" s="12" t="str">
        <x:v>Yes</x:v>
      </x:c>
    </x:row>
    <x:row r="18">
      <x:c r="A18" s="5" t="str">
        <x:v>nh3_nh3</x:v>
      </x:c>
      <x:c r="B18" s="9" t="n">
        <x:v>8</x:v>
      </x:c>
      <x:c r="C18" s="9" t="n">
        <x:v>98</x:v>
      </x:c>
      <x:c r="D18" s="10" t="n">
        <x:v>-113.02178989134052</x:v>
      </x:c>
      <x:c r="E18" s="10" t="n">
        <x:v>-113.02178987612044</x:v>
      </x:c>
      <x:c r="F18" s="10" t="n">
        <x:f>D18-E18</x:f>
        <x:v>-1.522008119536622e-8</x:v>
      </x:c>
      <x:c r="G18" s="10" t="n">
        <x:f>ABS(F18)</x:f>
        <x:v>1.522008119536622e-8</x:v>
      </x:c>
      <x:c r="H18" s="9" t="n">
        <x:v>6</x:v>
      </x:c>
      <x:c r="I18" s="9" t="n">
        <x:v>6</x:v>
      </x:c>
      <x:c r="J18" s="11" t="n">
        <x:v>1.27</x:v>
      </x:c>
      <x:c r="K18" s="11" t="n">
        <x:v>1.1491520409999794</x:v>
      </x:c>
      <x:c r="L18" s="11" t="n">
        <x:f>J18/H18</x:f>
        <x:v>0.21166666666666667</x:v>
      </x:c>
      <x:c r="M18" s="11" t="n">
        <x:f>K18/I18</x:f>
        <x:v>0.19152534016666323</x:v>
      </x:c>
      <x:c r="N18" s="12" t="str">
        <x:v>Yes</x:v>
      </x:c>
      <x:c r="O18" s="12" t="str">
        <x:v>Yes</x:v>
      </x:c>
    </x:row>
    <x:row r="19">
      <x:c r="A19" s="5" t="str">
        <x:v>phenol_phenol</x:v>
      </x:c>
      <x:c r="B19" s="9" t="n">
        <x:v>26</x:v>
      </x:c>
      <x:c r="C19" s="9" t="n">
        <x:v>506</x:v>
      </x:c>
      <x:c r="D19" s="10" t="n">
        <x:v>-614.4192588206965</x:v>
      </x:c>
      <x:c r="E19" s="10" t="n">
        <x:v>-614.4192587418141</x:v>
      </x:c>
      <x:c r="F19" s="10" t="n">
        <x:f>D19-E19</x:f>
        <x:v>-7.888240816100733e-8</x:v>
      </x:c>
      <x:c r="G19" s="10" t="n">
        <x:f>ABS(F19)</x:f>
        <x:v>7.888240816100733e-8</x:v>
      </x:c>
      <x:c r="H19" s="9" t="n">
        <x:v>10</x:v>
      </x:c>
      <x:c r="I19" s="9" t="n">
        <x:v>10</x:v>
      </x:c>
      <x:c r="J19" s="11" t="n">
        <x:v>47.73</x:v>
      </x:c>
      <x:c r="K19" s="11" t="n">
        <x:v>50.906381166000074</x:v>
      </x:c>
      <x:c r="L19" s="11" t="n">
        <x:f>J19/H19</x:f>
        <x:v>4.773</x:v>
      </x:c>
      <x:c r="M19" s="11" t="n">
        <x:f>K19/I19</x:f>
        <x:v>5.090638116600007</x:v>
      </x:c>
      <x:c r="N19" s="12" t="str">
        <x:v>Yes</x:v>
      </x:c>
      <x:c r="O19" s="12" t="str">
        <x:v>Yes</x:v>
      </x:c>
    </x:row>
    <x:row r="20">
      <x:c r="A20" s="5" t="str">
        <x:v>pyrazine_pyrazine</x:v>
      </x:c>
      <x:c r="B20" s="9" t="n">
        <x:v>20</x:v>
      </x:c>
      <x:c r="C20" s="9" t="n">
        <x:v>420</x:v>
      </x:c>
      <x:c r="D20" s="10" t="n">
        <x:v>-528.1842292216313</x:v>
      </x:c>
      <x:c r="E20" s="10" t="n">
        <x:v>-528.1842292049771</x:v>
      </x:c>
      <x:c r="F20" s="10" t="n">
        <x:f>D20-E20</x:f>
        <x:v>-1.6654212231514975e-8</x:v>
      </x:c>
      <x:c r="G20" s="10" t="n">
        <x:f>ABS(F20)</x:f>
        <x:v>1.6654212231514975e-8</x:v>
      </x:c>
      <x:c r="H20" s="9" t="n">
        <x:v>8</x:v>
      </x:c>
      <x:c r="I20" s="9" t="n">
        <x:v>9</x:v>
      </x:c>
      <x:c r="J20" s="11" t="n">
        <x:v>42.85</x:v>
      </x:c>
      <x:c r="K20" s="11" t="n">
        <x:v>30.95656874999986</x:v>
      </x:c>
      <x:c r="L20" s="11" t="n">
        <x:f>J20/H20</x:f>
        <x:v>5.35625</x:v>
      </x:c>
      <x:c r="M20" s="11" t="n">
        <x:f>K20/I20</x:f>
        <x:v>3.4396187499999846</x:v>
      </x:c>
      <x:c r="N20" s="12" t="str">
        <x:v>Yes</x:v>
      </x:c>
      <x:c r="O20" s="12" t="str">
        <x:v>Yes</x:v>
      </x:c>
    </x:row>
    <x:row r="21">
      <x:c r="A21" s="5" t="str">
        <x:v>pyridoxine_aminopyridine</x:v>
      </x:c>
      <x:c r="B21" s="9" t="n">
        <x:v>25</x:v>
      </x:c>
      <x:c r="C21" s="9" t="n">
        <x:v>500</x:v>
      </x:c>
      <x:c r="D21" s="10" t="n">
        <x:v>-626.6757407396819</x:v>
      </x:c>
      <x:c r="E21" s="10" t="n">
        <x:v>-626.6757406096829</x:v>
      </x:c>
      <x:c r="F21" s="10" t="n">
        <x:f>D21-E21</x:f>
        <x:v>-1.2999907994526438e-7</x:v>
      </x:c>
      <x:c r="G21" s="10" t="n">
        <x:f>ABS(F21)</x:f>
        <x:v>1.2999907994526438e-7</x:v>
      </x:c>
      <x:c r="H21" s="9" t="n">
        <x:v>13</x:v>
      </x:c>
      <x:c r="I21" s="9" t="n">
        <x:v>13</x:v>
      </x:c>
      <x:c r="J21" s="11" t="n">
        <x:v>59.78</x:v>
      </x:c>
      <x:c r="K21" s="11" t="n">
        <x:v>76.46101500000009</x:v>
      </x:c>
      <x:c r="L21" s="11" t="n">
        <x:f>J21/H21</x:f>
        <x:v>4.598461538461539</x:v>
      </x:c>
      <x:c r="M21" s="11" t="n">
        <x:f>K21/I21</x:f>
        <x:v>5.881616538461545</x:v>
      </x:c>
      <x:c r="N21" s="12" t="str">
        <x:v>Yes</x:v>
      </x:c>
      <x:c r="O21" s="12" t="str">
        <x:v>Yes</x:v>
      </x:c>
    </x:row>
    <x:row r="22">
      <x:c r="A22" s="5" t="str">
        <x:v>uracil_uracil_hb</x:v>
      </x:c>
      <x:c r="B22" s="9" t="n">
        <x:v>24</x:v>
      </x:c>
      <x:c r="C22" s="9" t="n">
        <x:v>544</x:v>
      </x:c>
      <x:c r="D22" s="10" t="n">
        <x:v>-829.0902976929654</x:v>
      </x:c>
      <x:c r="E22" s="10" t="n">
        <x:v>-829.0902978148172</x:v>
      </x:c>
      <x:c r="F22" s="10" t="n">
        <x:f>D22-E22</x:f>
        <x:v>1.218518264067825e-7</x:v>
      </x:c>
      <x:c r="G22" s="10" t="n">
        <x:f>ABS(F22)</x:f>
        <x:v>1.218518264067825e-7</x:v>
      </x:c>
      <x:c r="H22" s="9" t="n">
        <x:v>13</x:v>
      </x:c>
      <x:c r="I22" s="9" t="n">
        <x:v>13</x:v>
      </x:c>
      <x:c r="J22" s="11" t="n">
        <x:v>61.28</x:v>
      </x:c>
      <x:c r="K22" s="11" t="n">
        <x:v>74.76978641699998</x:v>
      </x:c>
      <x:c r="L22" s="11" t="n">
        <x:f>J22/H22</x:f>
        <x:v>4.713846153846154</x:v>
      </x:c>
      <x:c r="M22" s="11" t="n">
        <x:f>K22/I22</x:f>
        <x:v>5.751522032076921</x:v>
      </x:c>
      <x:c r="N22" s="12" t="str">
        <x:v>Yes</x:v>
      </x:c>
      <x:c r="O22" s="12" t="str">
        <x:v>Yes</x:v>
      </x:c>
    </x:row>
    <x:row r="23">
      <x:c r="A23" s="5" t="str">
        <x:v>uracil_uracil_stack</x:v>
      </x:c>
      <x:c r="B23" s="9" t="n">
        <x:v>24</x:v>
      </x:c>
      <x:c r="C23" s="9" t="n">
        <x:v>544</x:v>
      </x:c>
      <x:c r="D23" s="10" t="n">
        <x:v>-829.0668263981388</x:v>
      </x:c>
      <x:c r="E23" s="10" t="n">
        <x:v>-829.0668263998909</x:v>
      </x:c>
      <x:c r="F23" s="10" t="n">
        <x:f>D23-E23</x:f>
        <x:v>1.7521415429655463e-9</x:v>
      </x:c>
      <x:c r="G23" s="10" t="n">
        <x:f>ABS(F23)</x:f>
        <x:v>1.7521415429655463e-9</x:v>
      </x:c>
      <x:c r="H23" s="9" t="n">
        <x:v>12</x:v>
      </x:c>
      <x:c r="I23" s="9" t="n">
        <x:v>12</x:v>
      </x:c>
      <x:c r="J23" s="11" t="n">
        <x:v>75.77</x:v>
      </x:c>
      <x:c r="K23" s="11" t="n">
        <x:v>72.38270558299996</x:v>
      </x:c>
      <x:c r="L23" s="11" t="n">
        <x:f>J23/H23</x:f>
        <x:v>6.314166666666666</x:v>
      </x:c>
      <x:c r="M23" s="11" t="n">
        <x:f>K23/I23</x:f>
        <x:v>6.031892131916663</x:v>
      </x:c>
      <x:c r="N23" s="12" t="str">
        <x:v>Yes</x:v>
      </x:c>
      <x:c r="O23" s="12" t="str">
        <x:v>Yes</x:v>
      </x:c>
    </x:row>
  </x:sheetData>
  <x:conditionalFormatting sqref="G2:G23">
    <x:cfRule type="colorScale" priority="1">
      <x:colorScale>
        <x:cfvo type="min"/>
        <x:cfvo type="percentile" val="50"/>
        <x:cfvo type="max"/>
        <x:color rgb="FFE7F4E4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a48f1019fb44a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76" hidden="0" customWidth="1"/>
  </x:cols>
  <x:sheetData>
    <x:row r="1">
      <x:c r="A1" s="3" t="str">
        <x:v>Benchmark setting</x:v>
      </x:c>
      <x:c r="B1" s="3" t="str">
        <x:v>Value</x:v>
      </x:c>
    </x:row>
    <x:row r="2">
      <x:c r="A2" s="22" t="str">
        <x:v>Dataset</x:v>
      </x:c>
      <x:c r="B2" s="22" t="str">
        <x:v>S22 (22 noncovalent dimers)</x:v>
      </x:c>
    </x:row>
    <x:row r="3">
      <x:c r="A3" s="22" t="str">
        <x:v>Basis set</x:v>
      </x:c>
      <x:c r="B3" s="22" t="str">
        <x:v>def2-TZVP (SAO/spherical)</x:v>
      </x:c>
    </x:row>
    <x:row r="4">
      <x:c r="A4" s="22" t="str">
        <x:v>Exchange-correlation functional</x:v>
      </x:c>
      <x:c r="B4" s="22" t="str">
        <x:v>PBE (LibXC IDs 101,130)</x:v>
      </x:c>
    </x:row>
    <x:row r="5">
      <x:c r="A5" s="22" t="str">
        <x:v>Auxiliary basis</x:v>
      </x:c>
      <x:c r="B5" s="22" t="str">
        <x:v>def2-universal-jfit</x:v>
      </x:c>
    </x:row>
    <x:row r="6">
      <x:c r="A6" s="22" t="str">
        <x:v>Grid</x:v>
      </x:c>
      <x:c r="B6" s="22" t="str">
        <x:v>PySCF level 3; identical grid supplied to PyFock</x:v>
      </x:c>
    </x:row>
    <x:row r="7">
      <x:c r="A7" s="22" t="str">
        <x:v>Initial density</x:v>
      </x:c>
      <x:c r="B7" s="22" t="str">
        <x:v>PySCF MINAO density supplied to both codes</x:v>
      </x:c>
    </x:row>
    <x:row r="8">
      <x:c r="A8" s="22" t="str">
        <x:v>SCF energy convergence threshold</x:v>
      </x:c>
      <x:c r="B8" s="22" t="str">
        <x:v>1e-7 Eₕ</x:v>
      </x:c>
    </x:row>
    <x:row r="9">
      <x:c r="A9" s="22" t="str">
        <x:v>Maximum SCF iterations</x:v>
      </x:c>
      <x:c r="B9" s="22" t="n">
        <x:v>50</x:v>
      </x:c>
    </x:row>
    <x:row r="10">
      <x:c r="A10" s="22" t="str">
        <x:v>CPU cores</x:v>
      </x:c>
      <x:c r="B10" s="22" t="n">
        <x:v>4</x:v>
      </x:c>
    </x:row>
    <x:row r="11">
      <x:c r="A11" s="22" t="str">
        <x:v>AO representation</x:v>
      </x:c>
      <x:c r="B11" s="22" t="str">
        <x:v>Spherical atomic orbitals: PySCF cart=False; PyFock sao=True</x:v>
      </x:c>
    </x:row>
    <x:row r="12">
      <x:c r="A12" s="23" t="str">
        <x:v>Definition</x:v>
      </x:c>
      <x:c r="B12" s="23" t="str">
        <x:v>Formula / interpretation</x:v>
      </x:c>
    </x:row>
    <x:row r="13">
      <x:c r="A13" s="22" t="str">
        <x:v>Signed deviation</x:v>
      </x:c>
      <x:c r="B13" s="22" t="str">
        <x:v>PyFock energy − PySCF energy</x:v>
      </x:c>
    </x:row>
    <x:row r="14">
      <x:c r="A14" s="22" t="str">
        <x:v>Wall time</x:v>
      </x:c>
      <x:c r="B14" s="22" t="str">
        <x:v>PySCF: “PySCF time” log entry; PyFock: “Complete SCF” profiling entry</x:v>
      </x:c>
    </x:row>
    <x:row r="15">
      <x:c r="A15" s="22" t="str">
        <x:v>Time / iteration</x:v>
      </x:c>
      <x:c r="B15" s="22" t="str">
        <x:v>Complete wall time divided by reported SCF iterations</x:v>
      </x:c>
    </x:row>
  </x:sheetData>
  <x:pageMargins left="0.7" right="0.7" top="0.75" bottom="0.75" header="0.3" footer="0.3"/>
</x:worksheet>
</file>