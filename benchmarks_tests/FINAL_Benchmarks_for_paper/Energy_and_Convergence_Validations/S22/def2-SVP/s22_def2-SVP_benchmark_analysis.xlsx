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80b61a8aa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34929c5e324a0a"/>
    <x:sheet xmlns:r="http://schemas.openxmlformats.org/officeDocument/2006/relationships" name="Results" sheetId="2" r:id="R4b1f5e02385d4dc0"/>
    <x:sheet xmlns:r="http://schemas.openxmlformats.org/officeDocument/2006/relationships" name="Methods" sheetId="3" r:id="Rb1f790d48061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"/>
    <x:numFmt numFmtId="201" formatCode="0.000"/>
    <x:numFmt numFmtId="202" formatCode="0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6B87"/>
      </x:patternFill>
    </x:fill>
    <x:fill>
      <x:patternFill patternType="solid">
        <x:fgColor rgb="FFF4F7FA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fec777a404ee7" /><Relationship Type="http://schemas.openxmlformats.org/officeDocument/2006/relationships/theme" Target="/xl/theme/theme1.xml" Id="Rcce4f5f3b45c4325" /><Relationship Type="http://schemas.openxmlformats.org/officeDocument/2006/relationships/sharedStrings" Target="/xl/sharedStrings.xml" Id="Rbec7c01906b44980" /><Relationship Type="http://schemas.openxmlformats.org/officeDocument/2006/relationships/worksheet" Target="/xl/worksheets/sheet1.xml" Id="Ra734929c5e324a0a" /><Relationship Type="http://schemas.openxmlformats.org/officeDocument/2006/relationships/worksheet" Target="/xl/worksheets/sheet2.xml" Id="R4b1f5e02385d4dc0" /><Relationship Type="http://schemas.openxmlformats.org/officeDocument/2006/relationships/worksheet" Target="/xl/worksheets/sheet3.xml" Id="Rb1f790d480614978" /></Relationships>
</file>

<file path=xl/tables/table1.xml><?xml version="1.0" encoding="utf-8"?>
<x:table xmlns:x="http://schemas.openxmlformats.org/spreadsheetml/2006/main" id="1" name="S22Results" displayName="S22Results" ref="A1:O23" headerRowCount="1" totalsRowCount="0" totalsRowShown="0">
  <x:tableColumns count="15">
    <x:tableColumn id="1" name="System"/>
    <x:tableColumn id="2" name="N atoms"/>
    <x:tableColumn id="3" name="N basis functions"/>
    <x:tableColumn id="4" name="PyFock energy (Eₕ)"/>
    <x:tableColumn id="5" name="PySCF energy (Eₕ)"/>
    <x:tableColumn id="6" name="Signed deviation (Eₕ)"/>
    <x:tableColumn id="7" name="Absolute deviation (Eₕ)"/>
    <x:tableColumn id="8" name="PyFock iterations"/>
    <x:tableColumn id="9" name="PySCF iterations"/>
    <x:tableColumn id="10" name="PyFock wall time (s)"/>
    <x:tableColumn id="11" name="PySCF wall time (s)"/>
    <x:tableColumn id="12" name="PyFock time / iteration (s)"/>
    <x:tableColumn id="13" name="PySCF time / iteration (s)"/>
    <x:tableColumn id="14" name="PyFock converged"/>
    <x:tableColumn id="15" name="PySCF converg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80f0d2c79b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3" hidden="0" customWidth="1"/>
    <x:col min="4" max="4" width="42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5" t="str">
        <x:v>S22 numerical reproducibility — def2-SVP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17" t="str">
        <x:v>Accuracy statistic</x:v>
      </x:c>
      <x:c r="B4" s="17" t="str">
        <x:v>Value</x:v>
      </x:c>
      <x:c r="D4" s="17" t="str">
        <x:v>Timing / convergence statistic</x:v>
      </x:c>
      <x:c r="E4" s="17" t="str">
        <x:v>Value</x:v>
      </x:c>
    </x:row>
    <x:row r="5">
      <x:c r="A5" s="18" t="str">
        <x:v>RMSE (μEₕ)</x:v>
      </x:c>
      <x:c r="B5" s="19" t="n">
        <x:f>SQRT(SUMSQ('Results'!F2:F23)/COUNT('Results'!F2:F23))*1000000</x:f>
        <x:v>0.0952731250360776</x:v>
      </x:c>
      <x:c r="D5" s="18" t="str">
        <x:v>Systems evaluated</x:v>
      </x:c>
      <x:c r="E5" s="5" t="n">
        <x:f>COUNTA('Results'!A2:A23)</x:f>
        <x:v>22</x:v>
      </x:c>
    </x:row>
    <x:row r="6">
      <x:c r="A6" s="18" t="str">
        <x:v>MAE (μEₕ)</x:v>
      </x:c>
      <x:c r="B6" s="19" t="n">
        <x:f>AVERAGE('Results'!G2:G23)*1000000</x:f>
        <x:v>0.07357282072462112</x:v>
      </x:c>
      <x:c r="D6" s="18" t="str">
        <x:v>Total PyFock wall time (s)</x:v>
      </x:c>
      <x:c r="E6" s="7" t="n">
        <x:f>SUM('Results'!J2:J23)</x:f>
        <x:v>198.28</x:v>
      </x:c>
    </x:row>
    <x:row r="7">
      <x:c r="A7" s="18" t="str">
        <x:v>Mean signed error (μEₕ)</x:v>
      </x:c>
      <x:c r="B7" s="19" t="n">
        <x:f>AVERAGE('Results'!F2:F23)*1000000</x:f>
        <x:v>-0.054251701313164216</x:v>
      </x:c>
      <x:c r="D7" s="18" t="str">
        <x:v>Total PySCF wall time (s)</x:v>
      </x:c>
      <x:c r="E7" s="7" t="n">
        <x:f>SUM('Results'!K2:K23)</x:f>
        <x:v>282.55028587500004</x:v>
      </x:c>
    </x:row>
    <x:row r="8">
      <x:c r="A8" s="18" t="str">
        <x:v>Median absolute error (μEₕ)</x:v>
      </x:c>
      <x:c r="B8" s="19" t="n">
        <x:f>MEDIAN('Results'!G2:G23)*1000000</x:f>
        <x:v>0.06512900085908768</x:v>
      </x:c>
      <x:c r="D8" s="18" t="str">
        <x:v>Overall wall-time ratio (PySCF / PyFock)</x:v>
      </x:c>
      <x:c r="E8" s="7" t="n">
        <x:f>E7/E6</x:f>
        <x:v>1.4250064851472668</x:v>
      </x:c>
    </x:row>
    <x:row r="9">
      <x:c r="A9" s="18" t="str">
        <x:v>95th percentile absolute error (μEₕ)</x:v>
      </x:c>
      <x:c r="B9" s="19" t="n">
        <x:f>PERCENTILE.INC('Results'!G2:G23,0.95)*1000000</x:f>
        <x:v>0.1757956</x:v>
      </x:c>
      <x:c r="D9" s="18" t="str">
        <x:v>Mean PyFock time / iteration (s)</x:v>
      </x:c>
      <x:c r="E9" s="7" t="n">
        <x:f>AVERAGE('Results'!L2:L23)</x:f>
        <x:v>0.8963488405533859</x:v>
      </x:c>
    </x:row>
    <x:row r="10">
      <x:c r="A10" s="18" t="str">
        <x:v>Maximum absolute deviation (μEₕ)</x:v>
      </x:c>
      <x:c r="B10" s="19" t="n">
        <x:f>MAX('Results'!G2:G23)*1000000</x:f>
        <x:v>0.1782308345354977</x:v>
      </x:c>
      <x:c r="D10" s="18" t="str">
        <x:v>Mean PySCF time / iteration (s)</x:v>
      </x:c>
      <x:c r="E10" s="7" t="n">
        <x:f>AVERAGE('Results'!M2:M23)</x:f>
        <x:v>1.1814777457816505</x:v>
      </x:c>
    </x:row>
    <x:row r="11">
      <x:c r="A11" s="18" t="str">
        <x:v>Maximum-deviation system</x:v>
      </x:c>
      <x:c r="B11" s="5" t="str">
        <x:f>INDEX('Results'!A2:A23,MATCH(MAX('Results'!G2:G23),'Results'!G2:G23,0))</x:f>
        <x:v>phenol_phenol</x:v>
      </x:c>
      <x:c r="D11" s="18" t="str">
        <x:v>All PyFock calculations converged</x:v>
      </x:c>
      <x:c r="E11" s="5" t="str">
        <x:f>IF(COUNTIF('Results'!N2:N23,"Yes")=COUNTA('Results'!A2:A23),"Yes","No")</x:f>
        <x:v>Yes</x:v>
      </x:c>
    </x:row>
    <x:row r="12">
      <x:c r="A12" s="18" t="str">
        <x:v>R²</x:v>
      </x:c>
      <x:c r="B12" s="6" t="n">
        <x:f>RSQ('Results'!D2:D23,'Results'!E2:E23)</x:f>
        <x:v>1</x:v>
      </x:c>
      <x:c r="D12" s="18" t="str">
        <x:v>All PySCF calculations converged</x:v>
      </x:c>
      <x:c r="E12" s="5" t="str">
        <x:f>IF(COUNTIF('Results'!O2:O23,"Yes")=COUNTA('Results'!A2:A23),"Yes","No")</x:f>
        <x:v>Yes</x:v>
      </x:c>
    </x:row>
    <x:row r="14">
      <x:c r="A14" s="21" t="str">
        <x:v>Publication figure supplied alongside workbook (600 dpi PNG and vector PDF)</x:v>
      </x:c>
      <x:c r="B14" s="21"/>
      <x:c r="C14" s="21"/>
      <x:c r="D14" s="21"/>
      <x:c r="E14" s="21"/>
      <x:c r="F14" s="21"/>
      <x:c r="G14" s="21"/>
      <x:c r="H14" s="21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</x:cols>
  <x:sheetData>
    <x:row r="1" ht="38" customHeight="1">
      <x:c r="A1" s="4" t="str">
        <x:v>System</x:v>
      </x:c>
      <x:c r="B1" s="4" t="str">
        <x:v>N atoms</x:v>
      </x:c>
      <x:c r="C1" s="4" t="str">
        <x:v>N basis functions</x:v>
      </x:c>
      <x:c r="D1" s="4" t="str">
        <x:v>PyFock energy (Eₕ)</x:v>
      </x:c>
      <x:c r="E1" s="4" t="str">
        <x:v>PySCF energy (Eₕ)</x:v>
      </x:c>
      <x:c r="F1" s="4" t="str">
        <x:v>Signed deviation (Eₕ)</x:v>
      </x:c>
      <x:c r="G1" s="4" t="str">
        <x:v>Absolute deviation (Eₕ)</x:v>
      </x:c>
      <x:c r="H1" s="4" t="str">
        <x:v>PyFock iterations</x:v>
      </x:c>
      <x:c r="I1" s="4" t="str">
        <x:v>PySCF iterations</x:v>
      </x:c>
      <x:c r="J1" s="4" t="str">
        <x:v>PyFock wall time (s)</x:v>
      </x:c>
      <x:c r="K1" s="4" t="str">
        <x:v>PySCF wall time (s)</x:v>
      </x:c>
      <x:c r="L1" s="4" t="str">
        <x:v>PyFock time / iteration (s)</x:v>
      </x:c>
      <x:c r="M1" s="4" t="str">
        <x:v>PySCF time / iteration (s)</x:v>
      </x:c>
      <x:c r="N1" s="4" t="str">
        <x:v>PyFock converged</x:v>
      </x:c>
      <x:c r="O1" s="4" t="str">
        <x:v>PySCF converged</x:v>
      </x:c>
    </x:row>
    <x:row r="2">
      <x:c r="A2" s="5" t="str">
        <x:v>adenine_thymine_stack</x:v>
      </x:c>
      <x:c r="B2" s="9" t="n">
        <x:v>30</x:v>
      </x:c>
      <x:c r="C2" s="9" t="n">
        <x:v>340</x:v>
      </x:c>
      <x:c r="D2" s="10" t="n">
        <x:v>-919.7993755180316</x:v>
      </x:c>
      <x:c r="E2" s="10" t="n">
        <x:v>-919.799375629415</x:v>
      </x:c>
      <x:c r="F2" s="10" t="n">
        <x:f>D2-E2</x:f>
        <x:v>1.1138331501570065e-7</x:v>
      </x:c>
      <x:c r="G2" s="10" t="n">
        <x:f>ABS(F2)</x:f>
        <x:v>1.1138331501570065e-7</x:v>
      </x:c>
      <x:c r="H2" s="9" t="n">
        <x:v>13</x:v>
      </x:c>
      <x:c r="I2" s="9" t="n">
        <x:v>14</x:v>
      </x:c>
      <x:c r="J2" s="11" t="n">
        <x:v>24.98</x:v>
      </x:c>
      <x:c r="K2" s="11" t="n">
        <x:v>49.411273083999994</x:v>
      </x:c>
      <x:c r="L2" s="11" t="n">
        <x:f>J2/H2</x:f>
        <x:v>1.9215384615384616</x:v>
      </x:c>
      <x:c r="M2" s="11" t="n">
        <x:f>K2/I2</x:f>
        <x:v>3.5293766488571423</x:v>
      </x:c>
      <x:c r="N2" s="12" t="str">
        <x:v>Yes</x:v>
      </x:c>
      <x:c r="O2" s="12" t="str">
        <x:v>Yes</x:v>
      </x:c>
    </x:row>
    <x:row r="3">
      <x:c r="A3" s="5" t="str">
        <x:v>adenine_thymine_wcc1</x:v>
      </x:c>
      <x:c r="B3" s="9" t="n">
        <x:v>30</x:v>
      </x:c>
      <x:c r="C3" s="9" t="n">
        <x:v>340</x:v>
      </x:c>
      <x:c r="D3" s="10" t="n">
        <x:v>-919.8226605922073</x:v>
      </x:c>
      <x:c r="E3" s="10" t="n">
        <x:v>-919.8226605542454</x:v>
      </x:c>
      <x:c r="F3" s="10" t="n">
        <x:f>D3-E3</x:f>
        <x:v>-3.796185410465114e-8</x:v>
      </x:c>
      <x:c r="G3" s="10" t="n">
        <x:f>ABS(F3)</x:f>
        <x:v>3.796185410465114e-8</x:v>
      </x:c>
      <x:c r="H3" s="9" t="n">
        <x:v>13</x:v>
      </x:c>
      <x:c r="I3" s="9" t="n">
        <x:v>13</x:v>
      </x:c>
      <x:c r="J3" s="11" t="n">
        <x:v>18.3</x:v>
      </x:c>
      <x:c r="K3" s="11" t="n">
        <x:v>37.98159162500001</x:v>
      </x:c>
      <x:c r="L3" s="11" t="n">
        <x:f>J3/H3</x:f>
        <x:v>1.4076923076923078</x:v>
      </x:c>
      <x:c r="M3" s="11" t="n">
        <x:f>K3/I3</x:f>
        <x:v>2.9216608942307696</x:v>
      </x:c>
      <x:c r="N3" s="12" t="str">
        <x:v>Yes</x:v>
      </x:c>
      <x:c r="O3" s="12" t="str">
        <x:v>Yes</x:v>
      </x:c>
    </x:row>
    <x:row r="4">
      <x:c r="A4" s="5" t="str">
        <x:v>c2h4_c2h2</x:v>
      </x:c>
      <x:c r="B4" s="9" t="n">
        <x:v>10</x:v>
      </x:c>
      <x:c r="C4" s="9" t="n">
        <x:v>90</x:v>
      </x:c>
      <x:c r="D4" s="10" t="n">
        <x:v>-155.5813522584433</x:v>
      </x:c>
      <x:c r="E4" s="10" t="n">
        <x:v>-155.58135225913338</x:v>
      </x:c>
      <x:c r="F4" s="10" t="n">
        <x:f>D4-E4</x:f>
        <x:v>6.900791049702093e-10</x:v>
      </x:c>
      <x:c r="G4" s="10" t="n">
        <x:f>ABS(F4)</x:f>
        <x:v>6.900791049702093e-10</x:v>
      </x:c>
      <x:c r="H4" s="9" t="n">
        <x:v>8</x:v>
      </x:c>
      <x:c r="I4" s="9" t="n">
        <x:v>8</x:v>
      </x:c>
      <x:c r="J4" s="11" t="n">
        <x:v>1.93</x:v>
      </x:c>
      <x:c r="K4" s="11" t="n">
        <x:v>1.3702634579999824</x:v>
      </x:c>
      <x:c r="L4" s="11" t="n">
        <x:f>J4/H4</x:f>
        <x:v>0.24125</x:v>
      </x:c>
      <x:c r="M4" s="11" t="n">
        <x:f>K4/I4</x:f>
        <x:v>0.1712829322499978</x:v>
      </x:c>
      <x:c r="N4" s="12" t="str">
        <x:v>Yes</x:v>
      </x:c>
      <x:c r="O4" s="12" t="str">
        <x:v>Yes</x:v>
      </x:c>
    </x:row>
    <x:row r="5">
      <x:c r="A5" s="5" t="str">
        <x:v>c2h4_c2h4</x:v>
      </x:c>
      <x:c r="B5" s="9" t="n">
        <x:v>12</x:v>
      </x:c>
      <x:c r="C5" s="9" t="n">
        <x:v>100</x:v>
      </x:c>
      <x:c r="D5" s="10" t="n">
        <x:v>-156.82848733446752</x:v>
      </x:c>
      <x:c r="E5" s="10" t="n">
        <x:v>-156.8284873317066</x:v>
      </x:c>
      <x:c r="F5" s="10" t="n">
        <x:f>D5-E5</x:f>
        <x:v>-2.7609132757788757e-9</x:v>
      </x:c>
      <x:c r="G5" s="10" t="n">
        <x:f>ABS(F5)</x:f>
        <x:v>2.7609132757788757e-9</x:v>
      </x:c>
      <x:c r="H5" s="9" t="n">
        <x:v>6</x:v>
      </x:c>
      <x:c r="I5" s="9" t="n">
        <x:v>6</x:v>
      </x:c>
      <x:c r="J5" s="11" t="n">
        <x:v>1.81</x:v>
      </x:c>
      <x:c r="K5" s="11" t="n">
        <x:v>1.4563004580000154</x:v>
      </x:c>
      <x:c r="L5" s="11" t="n">
        <x:f>J5/H5</x:f>
        <x:v>0.3016666666666667</x:v>
      </x:c>
      <x:c r="M5" s="11" t="n">
        <x:f>K5/I5</x:f>
        <x:v>0.24271674300000257</x:v>
      </x:c>
      <x:c r="N5" s="12" t="str">
        <x:v>Yes</x:v>
      </x:c>
      <x:c r="O5" s="12" t="str">
        <x:v>Yes</x:v>
      </x:c>
    </x:row>
    <x:row r="6">
      <x:c r="A6" s="5" t="str">
        <x:v>c6h6_c6h6_pd</x:v>
      </x:c>
      <x:c r="B6" s="9" t="n">
        <x:v>24</x:v>
      </x:c>
      <x:c r="C6" s="9" t="n">
        <x:v>240</x:v>
      </x:c>
      <x:c r="D6" s="10" t="n">
        <x:v>-463.5631426502214</x:v>
      </x:c>
      <x:c r="E6" s="10" t="n">
        <x:v>-463.5631424840284</x:v>
      </x:c>
      <x:c r="F6" s="10" t="n">
        <x:f>D6-E6</x:f>
        <x:v>-1.6619299003650667e-7</x:v>
      </x:c>
      <x:c r="G6" s="10" t="n">
        <x:f>ABS(F6)</x:f>
        <x:v>1.6619299003650667e-7</x:v>
      </x:c>
      <x:c r="H6" s="9" t="n">
        <x:v>9</x:v>
      </x:c>
      <x:c r="I6" s="9" t="n">
        <x:v>9</x:v>
      </x:c>
      <x:c r="J6" s="11" t="n">
        <x:v>9</x:v>
      </x:c>
      <x:c r="K6" s="11" t="n">
        <x:v>13.170306707999998</x:v>
      </x:c>
      <x:c r="L6" s="11" t="n">
        <x:f>J6/H6</x:f>
        <x:v>1</x:v>
      </x:c>
      <x:c r="M6" s="11" t="n">
        <x:f>K6/I6</x:f>
        <x:v>1.4633674119999998</x:v>
      </x:c>
      <x:c r="N6" s="12" t="str">
        <x:v>Yes</x:v>
      </x:c>
      <x:c r="O6" s="12" t="str">
        <x:v>Yes</x:v>
      </x:c>
    </x:row>
    <x:row r="7">
      <x:c r="A7" s="5" t="str">
        <x:v>c6h6_c6h6_t</x:v>
      </x:c>
      <x:c r="B7" s="9" t="n">
        <x:v>24</x:v>
      </x:c>
      <x:c r="C7" s="9" t="n">
        <x:v>240</x:v>
      </x:c>
      <x:c r="D7" s="10" t="n">
        <x:v>-463.56553298368624</x:v>
      </x:c>
      <x:c r="E7" s="10" t="n">
        <x:v>-463.56553280738524</x:v>
      </x:c>
      <x:c r="F7" s="10" t="n">
        <x:f>D7-E7</x:f>
        <x:v>-1.7630100046517327e-7</x:v>
      </x:c>
      <x:c r="G7" s="10" t="n">
        <x:f>ABS(F7)</x:f>
        <x:v>1.7630100046517327e-7</x:v>
      </x:c>
      <x:c r="H7" s="9" t="n">
        <x:v>9</x:v>
      </x:c>
      <x:c r="I7" s="9" t="n">
        <x:v>8</x:v>
      </x:c>
      <x:c r="J7" s="11" t="n">
        <x:v>10.22</x:v>
      </x:c>
      <x:c r="K7" s="11" t="n">
        <x:v>11.48899016599998</x:v>
      </x:c>
      <x:c r="L7" s="11" t="n">
        <x:f>J7/H7</x:f>
        <x:v>1.1355555555555557</x:v>
      </x:c>
      <x:c r="M7" s="11" t="n">
        <x:f>K7/I7</x:f>
        <x:v>1.4361237707499974</x:v>
      </x:c>
      <x:c r="N7" s="12" t="str">
        <x:v>Yes</x:v>
      </x:c>
      <x:c r="O7" s="12" t="str">
        <x:v>Yes</x:v>
      </x:c>
    </x:row>
    <x:row r="8">
      <x:c r="A8" s="5" t="str">
        <x:v>c6h6_ch4</x:v>
      </x:c>
      <x:c r="B8" s="9" t="n">
        <x:v>17</x:v>
      </x:c>
      <x:c r="C8" s="9" t="n">
        <x:v>155</x:v>
      </x:c>
      <x:c r="D8" s="10" t="n">
        <x:v>-272.1982460222031</x:v>
      </x:c>
      <x:c r="E8" s="10" t="n">
        <x:v>-272.1982459212297</x:v>
      </x:c>
      <x:c r="F8" s="10" t="n">
        <x:f>D8-E8</x:f>
        <x:v>-1.0097335234604543e-7</x:v>
      </x:c>
      <x:c r="G8" s="10" t="n">
        <x:f>ABS(F8)</x:f>
        <x:v>1.0097335234604543e-7</x:v>
      </x:c>
      <x:c r="H8" s="9" t="n">
        <x:v>8</x:v>
      </x:c>
      <x:c r="I8" s="9" t="n">
        <x:v>7</x:v>
      </x:c>
      <x:c r="J8" s="11" t="n">
        <x:v>4.32</x:v>
      </x:c>
      <x:c r="K8" s="11" t="n">
        <x:v>4.153620916000023</x:v>
      </x:c>
      <x:c r="L8" s="11" t="n">
        <x:f>J8/H8</x:f>
        <x:v>0.54</x:v>
      </x:c>
      <x:c r="M8" s="11" t="n">
        <x:f>K8/I8</x:f>
        <x:v>0.5933744165714318</x:v>
      </x:c>
      <x:c r="N8" s="12" t="str">
        <x:v>Yes</x:v>
      </x:c>
      <x:c r="O8" s="12" t="str">
        <x:v>Yes</x:v>
      </x:c>
    </x:row>
    <x:row r="9">
      <x:c r="A9" s="5" t="str">
        <x:v>c6h6_h2o</x:v>
      </x:c>
      <x:c r="B9" s="9" t="n">
        <x:v>15</x:v>
      </x:c>
      <x:c r="C9" s="9" t="n">
        <x:v>145</x:v>
      </x:c>
      <x:c r="D9" s="10" t="n">
        <x:v>-308.06123364772594</x:v>
      </x:c>
      <x:c r="E9" s="10" t="n">
        <x:v>-308.0612335553517</x:v>
      </x:c>
      <x:c r="F9" s="10" t="n">
        <x:f>D9-E9</x:f>
        <x:v>-9.237425047103898e-8</x:v>
      </x:c>
      <x:c r="G9" s="10" t="n">
        <x:f>ABS(F9)</x:f>
        <x:v>9.237425047103898e-8</x:v>
      </x:c>
      <x:c r="H9" s="9" t="n">
        <x:v>9</x:v>
      </x:c>
      <x:c r="I9" s="9" t="n">
        <x:v>9</x:v>
      </x:c>
      <x:c r="J9" s="11" t="n">
        <x:v>4.08</x:v>
      </x:c>
      <x:c r="K9" s="11" t="n">
        <x:v>4.23135829200001</x:v>
      </x:c>
      <x:c r="L9" s="11" t="n">
        <x:f>J9/H9</x:f>
        <x:v>0.45333333333333337</x:v>
      </x:c>
      <x:c r="M9" s="11" t="n">
        <x:f>K9/I9</x:f>
        <x:v>0.47015092133333447</x:v>
      </x:c>
      <x:c r="N9" s="12" t="str">
        <x:v>Yes</x:v>
      </x:c>
      <x:c r="O9" s="12" t="str">
        <x:v>Yes</x:v>
      </x:c>
    </x:row>
    <x:row r="10">
      <x:c r="A10" s="5" t="str">
        <x:v>c6h6_hcn</x:v>
      </x:c>
      <x:c r="B10" s="9" t="n">
        <x:v>15</x:v>
      </x:c>
      <x:c r="C10" s="9" t="n">
        <x:v>155</x:v>
      </x:c>
      <x:c r="D10" s="10" t="n">
        <x:v>-325.02810633980437</x:v>
      </x:c>
      <x:c r="E10" s="10" t="n">
        <x:v>-325.02810626447894</x:v>
      </x:c>
      <x:c r="F10" s="10" t="n">
        <x:f>D10-E10</x:f>
        <x:v>-7.532543122579227e-8</x:v>
      </x:c>
      <x:c r="G10" s="10" t="n">
        <x:f>ABS(F10)</x:f>
        <x:v>7.532543122579227e-8</x:v>
      </x:c>
      <x:c r="H10" s="9" t="n">
        <x:v>9</x:v>
      </x:c>
      <x:c r="I10" s="9" t="n">
        <x:v>9</x:v>
      </x:c>
      <x:c r="J10" s="11" t="n">
        <x:v>4.55</x:v>
      </x:c>
      <x:c r="K10" s="11" t="n">
        <x:v>4.864945709000011</x:v>
      </x:c>
      <x:c r="L10" s="11" t="n">
        <x:f>J10/H10</x:f>
        <x:v>0.5055555555555555</x:v>
      </x:c>
      <x:c r="M10" s="11" t="n">
        <x:f>K10/I10</x:f>
        <x:v>0.5405495232222235</x:v>
      </x:c>
      <x:c r="N10" s="12" t="str">
        <x:v>Yes</x:v>
      </x:c>
      <x:c r="O10" s="12" t="str">
        <x:v>Yes</x:v>
      </x:c>
    </x:row>
    <x:row r="11">
      <x:c r="A11" s="5" t="str">
        <x:v>c6h6_nh3</x:v>
      </x:c>
      <x:c r="B11" s="9" t="n">
        <x:v>16</x:v>
      </x:c>
      <x:c r="C11" s="9" t="n">
        <x:v>150</x:v>
      </x:c>
      <x:c r="D11" s="10" t="n">
        <x:v>-288.21825042077904</x:v>
      </x:c>
      <x:c r="E11" s="10" t="n">
        <x:v>-288.21825034381436</x:v>
      </x:c>
      <x:c r="F11" s="10" t="n">
        <x:f>D11-E11</x:f>
        <x:v>-7.696468173890025e-8</x:v>
      </x:c>
      <x:c r="G11" s="10" t="n">
        <x:f>ABS(F11)</x:f>
        <x:v>7.696468173890025e-8</x:v>
      </x:c>
      <x:c r="H11" s="9" t="n">
        <x:v>8</x:v>
      </x:c>
      <x:c r="I11" s="9" t="n">
        <x:v>8</x:v>
      </x:c>
      <x:c r="J11" s="11" t="n">
        <x:v>4.13</x:v>
      </x:c>
      <x:c r="K11" s="11" t="n">
        <x:v>4.35857249999998</x:v>
      </x:c>
      <x:c r="L11" s="11" t="n">
        <x:f>J11/H11</x:f>
        <x:v>0.51625</x:v>
      </x:c>
      <x:c r="M11" s="11" t="n">
        <x:f>K11/I11</x:f>
        <x:v>0.5448215624999975</x:v>
      </x:c>
      <x:c r="N11" s="12" t="str">
        <x:v>Yes</x:v>
      </x:c>
      <x:c r="O11" s="12" t="str">
        <x:v>Yes</x:v>
      </x:c>
    </x:row>
    <x:row r="12">
      <x:c r="A12" s="5" t="str">
        <x:v>ch4_ch4</x:v>
      </x:c>
      <x:c r="B12" s="9" t="n">
        <x:v>10</x:v>
      </x:c>
      <x:c r="C12" s="9" t="n">
        <x:v>70</x:v>
      </x:c>
      <x:c r="D12" s="10" t="n">
        <x:v>-80.83189927330639</x:v>
      </x:c>
      <x:c r="E12" s="10" t="n">
        <x:v>-80.83189925893501</x:v>
      </x:c>
      <x:c r="F12" s="10" t="n">
        <x:f>D12-E12</x:f>
        <x:v>-1.4371380530064926e-8</x:v>
      </x:c>
      <x:c r="G12" s="10" t="n">
        <x:f>ABS(F12)</x:f>
        <x:v>1.4371380530064926e-8</x:v>
      </x:c>
      <x:c r="H12" s="9" t="n">
        <x:v>6</x:v>
      </x:c>
      <x:c r="I12" s="9" t="n">
        <x:v>5</x:v>
      </x:c>
      <x:c r="J12" s="11" t="n">
        <x:v>1.29</x:v>
      </x:c>
      <x:c r="K12" s="11" t="n">
        <x:v>0.7920708750000074</x:v>
      </x:c>
      <x:c r="L12" s="11" t="n">
        <x:f>J12/H12</x:f>
        <x:v>0.215</x:v>
      </x:c>
      <x:c r="M12" s="11" t="n">
        <x:f>K12/I12</x:f>
        <x:v>0.1584141750000015</x:v>
      </x:c>
      <x:c r="N12" s="12" t="str">
        <x:v>Yes</x:v>
      </x:c>
      <x:c r="O12" s="12" t="str">
        <x:v>Yes</x:v>
      </x:c>
    </x:row>
    <x:row r="13">
      <x:c r="A13" s="5" t="str">
        <x:v>formamide_formamide</x:v>
      </x:c>
      <x:c r="B13" s="9" t="n">
        <x:v>12</x:v>
      </x:c>
      <x:c r="C13" s="9" t="n">
        <x:v>120</x:v>
      </x:c>
      <x:c r="D13" s="10" t="n">
        <x:v>-339.1939732461093</x:v>
      </x:c>
      <x:c r="E13" s="10" t="n">
        <x:v>-339.1939731943111</x:v>
      </x:c>
      <x:c r="F13" s="10" t="n">
        <x:f>D13-E13</x:f>
        <x:v>-5.179816753297928e-8</x:v>
      </x:c>
      <x:c r="G13" s="10" t="n">
        <x:f>ABS(F13)</x:f>
        <x:v>5.179816753297928e-8</x:v>
      </x:c>
      <x:c r="H13" s="9" t="n">
        <x:v>9</x:v>
      </x:c>
      <x:c r="I13" s="9" t="n">
        <x:v>9</x:v>
      </x:c>
      <x:c r="J13" s="11" t="n">
        <x:v>2.94</x:v>
      </x:c>
      <x:c r="K13" s="11" t="n">
        <x:v>2.7875252499999874</x:v>
      </x:c>
      <x:c r="L13" s="11" t="n">
        <x:f>J13/H13</x:f>
        <x:v>0.32666666666666666</x:v>
      </x:c>
      <x:c r="M13" s="11" t="n">
        <x:f>K13/I13</x:f>
        <x:v>0.3097250277777764</x:v>
      </x:c>
      <x:c r="N13" s="12" t="str">
        <x:v>Yes</x:v>
      </x:c>
      <x:c r="O13" s="12" t="str">
        <x:v>Yes</x:v>
      </x:c>
    </x:row>
    <x:row r="14">
      <x:c r="A14" s="5" t="str">
        <x:v>h2co2_h2co2</x:v>
      </x:c>
      <x:c r="B14" s="9" t="n">
        <x:v>10</x:v>
      </x:c>
      <x:c r="C14" s="9" t="n">
        <x:v>110</x:v>
      </x:c>
      <x:c r="D14" s="10" t="n">
        <x:v>-378.88469245624543</x:v>
      </x:c>
      <x:c r="E14" s="10" t="n">
        <x:v>-378.8846923057348</x:v>
      </x:c>
      <x:c r="F14" s="10" t="n">
        <x:f>D14-E14</x:f>
        <x:v>-1.5051062973725493e-7</x:v>
      </x:c>
      <x:c r="G14" s="10" t="n">
        <x:f>ABS(F14)</x:f>
        <x:v>1.5051062973725493e-7</x:v>
      </x:c>
      <x:c r="H14" s="9" t="n">
        <x:v>9</x:v>
      </x:c>
      <x:c r="I14" s="9" t="n">
        <x:v>9</x:v>
      </x:c>
      <x:c r="J14" s="11" t="n">
        <x:v>2.63</x:v>
      </x:c>
      <x:c r="K14" s="11" t="n">
        <x:v>2.260407041999997</x:v>
      </x:c>
      <x:c r="L14" s="11" t="n">
        <x:f>J14/H14</x:f>
        <x:v>0.2922222222222222</x:v>
      </x:c>
      <x:c r="M14" s="11" t="n">
        <x:f>K14/I14</x:f>
        <x:v>0.2511563379999997</x:v>
      </x:c>
      <x:c r="N14" s="12" t="str">
        <x:v>Yes</x:v>
      </x:c>
      <x:c r="O14" s="12" t="str">
        <x:v>Yes</x:v>
      </x:c>
    </x:row>
    <x:row r="15">
      <x:c r="A15" s="5" t="str">
        <x:v>h2o_h2o</x:v>
      </x:c>
      <x:c r="B15" s="9" t="n">
        <x:v>6</x:v>
      </x:c>
      <x:c r="C15" s="9" t="n">
        <x:v>50</x:v>
      </x:c>
      <x:c r="D15" s="10" t="n">
        <x:v>-152.56165998685864</x:v>
      </x:c>
      <x:c r="E15" s="10" t="n">
        <x:v>-152.56165998611834</x:v>
      </x:c>
      <x:c r="F15" s="10" t="n">
        <x:f>D15-E15</x:f>
        <x:v>-7.403002655337332e-10</x:v>
      </x:c>
      <x:c r="G15" s="10" t="n">
        <x:f>ABS(F15)</x:f>
        <x:v>7.403002655337332e-10</x:v>
      </x:c>
      <x:c r="H15" s="9" t="n">
        <x:v>7</x:v>
      </x:c>
      <x:c r="I15" s="9" t="n">
        <x:v>8</x:v>
      </x:c>
      <x:c r="J15" s="11" t="n">
        <x:v>0.78</x:v>
      </x:c>
      <x:c r="K15" s="11" t="n">
        <x:v>0.5715838330000054</x:v>
      </x:c>
      <x:c r="L15" s="11" t="n">
        <x:f>J15/H15</x:f>
        <x:v>0.11142857142857143</x:v>
      </x:c>
      <x:c r="M15" s="11" t="n">
        <x:f>K15/I15</x:f>
        <x:v>0.07144797912500067</x:v>
      </x:c>
      <x:c r="N15" s="12" t="str">
        <x:v>Yes</x:v>
      </x:c>
      <x:c r="O15" s="12" t="str">
        <x:v>Yes</x:v>
      </x:c>
    </x:row>
    <x:row r="16">
      <x:c r="A16" s="5" t="str">
        <x:v>indole_c6h6_stack</x:v>
      </x:c>
      <x:c r="B16" s="9" t="n">
        <x:v>28</x:v>
      </x:c>
      <x:c r="C16" s="9" t="n">
        <x:v>290</x:v>
      </x:c>
      <x:c r="D16" s="10" t="n">
        <x:v>-594.902745227572</x:v>
      </x:c>
      <x:c r="E16" s="10" t="n">
        <x:v>-594.9027452072786</x:v>
      </x:c>
      <x:c r="F16" s="10" t="n">
        <x:f>D16-E16</x:f>
        <x:v>-2.0293441593821626e-8</x:v>
      </x:c>
      <x:c r="G16" s="10" t="n">
        <x:f>ABS(F16)</x:f>
        <x:v>2.0293441593821626e-8</x:v>
      </x:c>
      <x:c r="H16" s="9" t="n">
        <x:v>9</x:v>
      </x:c>
      <x:c r="I16" s="9" t="n">
        <x:v>10</x:v>
      </x:c>
      <x:c r="J16" s="11" t="n">
        <x:v>16.83</x:v>
      </x:c>
      <x:c r="K16" s="11" t="n">
        <x:v>23.587576040999977</x:v>
      </x:c>
      <x:c r="L16" s="11" t="n">
        <x:f>J16/H16</x:f>
        <x:v>1.8699999999999999</x:v>
      </x:c>
      <x:c r="M16" s="11" t="n">
        <x:f>K16/I16</x:f>
        <x:v>2.358757604099998</x:v>
      </x:c>
      <x:c r="N16" s="12" t="str">
        <x:v>Yes</x:v>
      </x:c>
      <x:c r="O16" s="12" t="str">
        <x:v>Yes</x:v>
      </x:c>
    </x:row>
    <x:row r="17">
      <x:c r="A17" s="5" t="str">
        <x:v>indole_c6h6_t</x:v>
      </x:c>
      <x:c r="B17" s="9" t="n">
        <x:v>28</x:v>
      </x:c>
      <x:c r="C17" s="9" t="n">
        <x:v>290</x:v>
      </x:c>
      <x:c r="D17" s="10" t="n">
        <x:v>-594.9085638161137</x:v>
      </x:c>
      <x:c r="E17" s="10" t="n">
        <x:v>-594.9085639165726</x:v>
      </x:c>
      <x:c r="F17" s="10" t="n">
        <x:f>D17-E17</x:f>
        <x:v>1.0045891940535512e-7</x:v>
      </x:c>
      <x:c r="G17" s="10" t="n">
        <x:f>ABS(F17)</x:f>
        <x:v>1.0045891940535512e-7</x:v>
      </x:c>
      <x:c r="H17" s="9" t="n">
        <x:v>9</x:v>
      </x:c>
      <x:c r="I17" s="9" t="n">
        <x:v>10</x:v>
      </x:c>
      <x:c r="J17" s="11" t="n">
        <x:v>18.18</x:v>
      </x:c>
      <x:c r="K17" s="11" t="n">
        <x:v>21.994819791999987</x:v>
      </x:c>
      <x:c r="L17" s="11" t="n">
        <x:f>J17/H17</x:f>
        <x:v>2.02</x:v>
      </x:c>
      <x:c r="M17" s="11" t="n">
        <x:f>K17/I17</x:f>
        <x:v>2.199481979199999</x:v>
      </x:c>
      <x:c r="N17" s="12" t="str">
        <x:v>Yes</x:v>
      </x:c>
      <x:c r="O17" s="12" t="str">
        <x:v>Yes</x:v>
      </x:c>
    </x:row>
    <x:row r="18">
      <x:c r="A18" s="5" t="str">
        <x:v>nh3_nh3</x:v>
      </x:c>
      <x:c r="B18" s="9" t="n">
        <x:v>8</x:v>
      </x:c>
      <x:c r="C18" s="9" t="n">
        <x:v>60</x:v>
      </x:c>
      <x:c r="D18" s="10" t="n">
        <x:v>-112.87657937032043</x:v>
      </x:c>
      <x:c r="E18" s="10" t="n">
        <x:v>-112.87657936077099</x:v>
      </x:c>
      <x:c r="F18" s="10" t="n">
        <x:f>D18-E18</x:f>
        <x:v>-9.549438573230873e-9</x:v>
      </x:c>
      <x:c r="G18" s="10" t="n">
        <x:f>ABS(F18)</x:f>
        <x:v>9.549438573230873e-9</x:v>
      </x:c>
      <x:c r="H18" s="9" t="n">
        <x:v>7</x:v>
      </x:c>
      <x:c r="I18" s="9" t="n">
        <x:v>7</x:v>
      </x:c>
      <x:c r="J18" s="11" t="n">
        <x:v>0.84</x:v>
      </x:c>
      <x:c r="K18" s="11" t="n">
        <x:v>1.0034010840000178</x:v>
      </x:c>
      <x:c r="L18" s="11" t="n">
        <x:f>J18/H18</x:f>
        <x:v>0.12</x:v>
      </x:c>
      <x:c r="M18" s="11" t="n">
        <x:f>K18/I18</x:f>
        <x:v>0.14334301200000255</x:v>
      </x:c>
      <x:c r="N18" s="12" t="str">
        <x:v>Yes</x:v>
      </x:c>
      <x:c r="O18" s="12" t="str">
        <x:v>Yes</x:v>
      </x:c>
    </x:row>
    <x:row r="19">
      <x:c r="A19" s="5" t="str">
        <x:v>phenol_phenol</x:v>
      </x:c>
      <x:c r="B19" s="9" t="n">
        <x:v>26</x:v>
      </x:c>
      <x:c r="C19" s="9" t="n">
        <x:v>270</x:v>
      </x:c>
      <x:c r="D19" s="10" t="n">
        <x:v>-613.7737422729883</x:v>
      </x:c>
      <x:c r="E19" s="10" t="n">
        <x:v>-613.7737420947575</x:v>
      </x:c>
      <x:c r="F19" s="10" t="n">
        <x:f>D19-E19</x:f>
        <x:v>-1.782308345354977e-7</x:v>
      </x:c>
      <x:c r="G19" s="10" t="n">
        <x:f>ABS(F19)</x:f>
        <x:v>1.782308345354977e-7</x:v>
      </x:c>
      <x:c r="H19" s="9" t="n">
        <x:v>11</x:v>
      </x:c>
      <x:c r="I19" s="9" t="n">
        <x:v>10</x:v>
      </x:c>
      <x:c r="J19" s="11" t="n">
        <x:v>15.58</x:v>
      </x:c>
      <x:c r="K19" s="11" t="n">
        <x:v>19.414416207999977</x:v>
      </x:c>
      <x:c r="L19" s="11" t="n">
        <x:f>J19/H19</x:f>
        <x:v>1.4163636363636363</x:v>
      </x:c>
      <x:c r="M19" s="11" t="n">
        <x:f>K19/I19</x:f>
        <x:v>1.9414416207999978</x:v>
      </x:c>
      <x:c r="N19" s="12" t="str">
        <x:v>Yes</x:v>
      </x:c>
      <x:c r="O19" s="12" t="str">
        <x:v>Yes</x:v>
      </x:c>
    </x:row>
    <x:row r="20">
      <x:c r="A20" s="5" t="str">
        <x:v>pyrazine_pyrazine</x:v>
      </x:c>
      <x:c r="B20" s="9" t="n">
        <x:v>20</x:v>
      </x:c>
      <x:c r="C20" s="9" t="n">
        <x:v>220</x:v>
      </x:c>
      <x:c r="D20" s="10" t="n">
        <x:v>-527.6285098460908</x:v>
      </x:c>
      <x:c r="E20" s="10" t="n">
        <x:v>-527.628509831226</x:v>
      </x:c>
      <x:c r="F20" s="10" t="n">
        <x:f>D20-E20</x:f>
        <x:v>-1.4864781405776739e-8</x:v>
      </x:c>
      <x:c r="G20" s="10" t="n">
        <x:f>ABS(F20)</x:f>
        <x:v>1.4864781405776739e-8</x:v>
      </x:c>
      <x:c r="H20" s="9" t="n">
        <x:v>8</x:v>
      </x:c>
      <x:c r="I20" s="9" t="n">
        <x:v>9</x:v>
      </x:c>
      <x:c r="J20" s="11" t="n">
        <x:v>10.2</x:v>
      </x:c>
      <x:c r="K20" s="11" t="n">
        <x:v>11.352524374999973</x:v>
      </x:c>
      <x:c r="L20" s="11" t="n">
        <x:f>J20/H20</x:f>
        <x:v>1.275</x:v>
      </x:c>
      <x:c r="M20" s="11" t="n">
        <x:f>K20/I20</x:f>
        <x:v>1.2613915972222192</x:v>
      </x:c>
      <x:c r="N20" s="12" t="str">
        <x:v>Yes</x:v>
      </x:c>
      <x:c r="O20" s="12" t="str">
        <x:v>Yes</x:v>
      </x:c>
    </x:row>
    <x:row r="21">
      <x:c r="A21" s="5" t="str">
        <x:v>pyridoxine_aminopyridine</x:v>
      </x:c>
      <x:c r="B21" s="9" t="n">
        <x:v>25</x:v>
      </x:c>
      <x:c r="C21" s="9" t="n">
        <x:v>265</x:v>
      </x:c>
      <x:c r="D21" s="10" t="n">
        <x:v>-626.0192636657389</x:v>
      </x:c>
      <x:c r="E21" s="10" t="n">
        <x:v>-626.0192635072563</x:v>
      </x:c>
      <x:c r="F21" s="10" t="n">
        <x:f>D21-E21</x:f>
        <x:v>-1.5848263501538895e-7</x:v>
      </x:c>
      <x:c r="G21" s="10" t="n">
        <x:f>ABS(F21)</x:f>
        <x:v>1.5848263501538895e-7</x:v>
      </x:c>
      <x:c r="H21" s="9" t="n">
        <x:v>12</x:v>
      </x:c>
      <x:c r="I21" s="9" t="n">
        <x:v>13</x:v>
      </x:c>
      <x:c r="J21" s="11" t="n">
        <x:v>13.66</x:v>
      </x:c>
      <x:c r="K21" s="11" t="n">
        <x:v>21.991105083000036</x:v>
      </x:c>
      <x:c r="L21" s="11" t="n">
        <x:f>J21/H21</x:f>
        <x:v>1.1383333333333334</x:v>
      </x:c>
      <x:c r="M21" s="11" t="n">
        <x:f>K21/I21</x:f>
        <x:v>1.6916234679230797</x:v>
      </x:c>
      <x:c r="N21" s="12" t="str">
        <x:v>Yes</x:v>
      </x:c>
      <x:c r="O21" s="12" t="str">
        <x:v>Yes</x:v>
      </x:c>
    </x:row>
    <x:row r="22">
      <x:c r="A22" s="5" t="str">
        <x:v>uracil_uracil_hb</x:v>
      </x:c>
      <x:c r="B22" s="9" t="n">
        <x:v>24</x:v>
      </x:c>
      <x:c r="C22" s="9" t="n">
        <x:v>280</x:v>
      </x:c>
      <x:c r="D22" s="10" t="n">
        <x:v>-828.1949155165833</x:v>
      </x:c>
      <x:c r="E22" s="10" t="n">
        <x:v>-828.1949154616507</x:v>
      </x:c>
      <x:c r="F22" s="10" t="n">
        <x:f>D22-E22</x:f>
        <x:v>-5.493257049238309e-8</x:v>
      </x:c>
      <x:c r="G22" s="10" t="n">
        <x:f>ABS(F22)</x:f>
        <x:v>5.493257049238309e-8</x:v>
      </x:c>
      <x:c r="H22" s="9" t="n">
        <x:v>11</x:v>
      </x:c>
      <x:c r="I22" s="9" t="n">
        <x:v>12</x:v>
      </x:c>
      <x:c r="J22" s="11" t="n">
        <x:v>15.32</x:v>
      </x:c>
      <x:c r="K22" s="11" t="n">
        <x:v>20.851935084000047</x:v>
      </x:c>
      <x:c r="L22" s="11" t="n">
        <x:f>J22/H22</x:f>
        <x:v>1.3927272727272728</x:v>
      </x:c>
      <x:c r="M22" s="11" t="n">
        <x:f>K22/I22</x:f>
        <x:v>1.7376612570000038</x:v>
      </x:c>
      <x:c r="N22" s="12" t="str">
        <x:v>Yes</x:v>
      </x:c>
      <x:c r="O22" s="12" t="str">
        <x:v>Yes</x:v>
      </x:c>
    </x:row>
    <x:row r="23">
      <x:c r="A23" s="5" t="str">
        <x:v>uracil_uracil_stack</x:v>
      </x:c>
      <x:c r="B23" s="9" t="n">
        <x:v>24</x:v>
      </x:c>
      <x:c r="C23" s="9" t="n">
        <x:v>280</x:v>
      </x:c>
      <x:c r="D23" s="10" t="n">
        <x:v>-828.1687361837535</x:v>
      </x:c>
      <x:c r="E23" s="10" t="n">
        <x:v>-828.1687361603124</x:v>
      </x:c>
      <x:c r="F23" s="10" t="n">
        <x:f>D23-E23</x:f>
        <x:v>-2.344108906982001e-8</x:v>
      </x:c>
      <x:c r="G23" s="10" t="n">
        <x:f>ABS(F23)</x:f>
        <x:v>2.344108906982001e-8</x:v>
      </x:c>
      <x:c r="H23" s="9" t="n">
        <x:v>11</x:v>
      </x:c>
      <x:c r="I23" s="9" t="n">
        <x:v>12</x:v>
      </x:c>
      <x:c r="J23" s="11" t="n">
        <x:v>16.71</x:v>
      </x:c>
      <x:c r="K23" s="11" t="n">
        <x:v>23.455698292000022</x:v>
      </x:c>
      <x:c r="L23" s="11" t="n">
        <x:f>J23/H23</x:f>
        <x:v>1.5190909090909093</x:v>
      </x:c>
      <x:c r="M23" s="11" t="n">
        <x:f>K23/I23</x:f>
        <x:v>1.9546415243333353</x:v>
      </x:c>
      <x:c r="N23" s="12" t="str">
        <x:v>Yes</x:v>
      </x:c>
      <x:c r="O23" s="12" t="str">
        <x:v>Yes</x:v>
      </x:c>
    </x:row>
  </x:sheetData>
  <x:conditionalFormatting sqref="G2:G23">
    <x:cfRule type="colorScale" priority="1">
      <x:colorScale>
        <x:cfvo type="min"/>
        <x:cfvo type="percentile" val="50"/>
        <x:cfvo type="max"/>
        <x:color rgb="FFE7F4E4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80f0d2c79b46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76" hidden="0" customWidth="1"/>
  </x:cols>
  <x:sheetData>
    <x:row r="1">
      <x:c r="A1" s="3" t="str">
        <x:v>Benchmark setting</x:v>
      </x:c>
      <x:c r="B1" s="3" t="str">
        <x:v>Value</x:v>
      </x:c>
    </x:row>
    <x:row r="2">
      <x:c r="A2" s="22" t="str">
        <x:v>Dataset</x:v>
      </x:c>
      <x:c r="B2" s="22" t="str">
        <x:v>S22 (22 noncovalent dimers)</x:v>
      </x:c>
    </x:row>
    <x:row r="3">
      <x:c r="A3" s="22" t="str">
        <x:v>Basis set</x:v>
      </x:c>
      <x:c r="B3" s="22" t="str">
        <x:v>def2-SVP</x:v>
      </x:c>
    </x:row>
    <x:row r="4">
      <x:c r="A4" s="22" t="str">
        <x:v>Exchange-correlation functional</x:v>
      </x:c>
      <x:c r="B4" s="22" t="str">
        <x:v>PBE (LibXC IDs 101,130)</x:v>
      </x:c>
    </x:row>
    <x:row r="5">
      <x:c r="A5" s="22" t="str">
        <x:v>Auxiliary basis</x:v>
      </x:c>
      <x:c r="B5" s="22" t="str">
        <x:v>def2-universal-jfit</x:v>
      </x:c>
    </x:row>
    <x:row r="6">
      <x:c r="A6" s="22" t="str">
        <x:v>Grid</x:v>
      </x:c>
      <x:c r="B6" s="22" t="str">
        <x:v>PySCF level 3; identical grid supplied to PyFock</x:v>
      </x:c>
    </x:row>
    <x:row r="7">
      <x:c r="A7" s="22" t="str">
        <x:v>Initial density</x:v>
      </x:c>
      <x:c r="B7" s="22" t="str">
        <x:v>PySCF MINAO density supplied to both codes</x:v>
      </x:c>
    </x:row>
    <x:row r="8">
      <x:c r="A8" s="22" t="str">
        <x:v>SCF energy convergence threshold</x:v>
      </x:c>
      <x:c r="B8" s="22" t="str">
        <x:v>1e-7 Eₕ</x:v>
      </x:c>
    </x:row>
    <x:row r="9">
      <x:c r="A9" s="22" t="str">
        <x:v>Maximum SCF iterations</x:v>
      </x:c>
      <x:c r="B9" s="22" t="n">
        <x:v>50</x:v>
      </x:c>
    </x:row>
    <x:row r="10">
      <x:c r="A10" s="22" t="str">
        <x:v>CPU cores</x:v>
      </x:c>
      <x:c r="B10" s="22" t="n">
        <x:v>4</x:v>
      </x:c>
    </x:row>
    <x:row r="11">
      <x:c r="A11" s="22"/>
      <x:c r="B11" s="22"/>
    </x:row>
    <x:row r="12">
      <x:c r="A12" s="23" t="str">
        <x:v>Definition</x:v>
      </x:c>
      <x:c r="B12" s="23" t="str">
        <x:v>Formula / interpretation</x:v>
      </x:c>
    </x:row>
    <x:row r="13">
      <x:c r="A13" s="22" t="str">
        <x:v>Signed deviation</x:v>
      </x:c>
      <x:c r="B13" s="22" t="str">
        <x:v>PyFock energy − PySCF energy</x:v>
      </x:c>
    </x:row>
    <x:row r="14">
      <x:c r="A14" s="22" t="str">
        <x:v>Wall time</x:v>
      </x:c>
      <x:c r="B14" s="22" t="str">
        <x:v>PySCF: “PySCF time” log entry; PyFock: “Complete SCF” profiling entry</x:v>
      </x:c>
    </x:row>
    <x:row r="15">
      <x:c r="A15" s="22" t="str">
        <x:v>Time / iteration</x:v>
      </x:c>
      <x:c r="B15" s="22" t="str">
        <x:v>Complete wall time divided by reported SCF iterations</x:v>
      </x:c>
    </x:row>
  </x:sheetData>
  <x:pageMargins left="0.7" right="0.7" top="0.75" bottom="0.75" header="0.3" footer="0.3"/>
</x:worksheet>
</file>