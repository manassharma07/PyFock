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13eadce36f4e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d551a1c2a44e9e"/>
    <x:sheet xmlns:r="http://schemas.openxmlformats.org/officeDocument/2006/relationships" name="Results" sheetId="2" r:id="Rb5ff0f0a5c83406d"/>
    <x:sheet xmlns:r="http://schemas.openxmlformats.org/officeDocument/2006/relationships" name="Methods" sheetId="3" r:id="R63ad688f9f9c45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0000"/>
    <x:numFmt numFmtId="201" formatCode="0.000"/>
    <x:numFmt numFmtId="202" formatCode="0"/>
    <x:numFmt numFmtId="203" formatCode="0.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6B87"/>
      </x:patternFill>
    </x:fill>
    <x:fill>
      <x:patternFill patternType="solid">
        <x:fgColor rgb="FFF4F7FA"/>
      </x:patternFill>
    </x:fill>
    <x:fill>
      <x:patternFill patternType="solid">
        <x:fgColor rgb="FFDCE6F1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203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e7ea26074f4cd2" /><Relationship Type="http://schemas.openxmlformats.org/officeDocument/2006/relationships/theme" Target="/xl/theme/theme1.xml" Id="R4cb3e005cd2d4de0" /><Relationship Type="http://schemas.openxmlformats.org/officeDocument/2006/relationships/sharedStrings" Target="/xl/sharedStrings.xml" Id="Rca0722c5c61444f3" /><Relationship Type="http://schemas.openxmlformats.org/officeDocument/2006/relationships/worksheet" Target="/xl/worksheets/sheet1.xml" Id="Rbcd551a1c2a44e9e" /><Relationship Type="http://schemas.openxmlformats.org/officeDocument/2006/relationships/worksheet" Target="/xl/worksheets/sheet2.xml" Id="Rb5ff0f0a5c83406d" /><Relationship Type="http://schemas.openxmlformats.org/officeDocument/2006/relationships/worksheet" Target="/xl/worksheets/sheet3.xml" Id="R63ad688f9f9c45a8" /></Relationships>
</file>

<file path=xl/tables/table1.xml><?xml version="1.0" encoding="utf-8"?>
<x:table xmlns:x="http://schemas.openxmlformats.org/spreadsheetml/2006/main" id="1" name="S22Results" displayName="S22Results" ref="A1:O23" headerRowCount="1" totalsRowCount="0" totalsRowShown="0">
  <x:tableColumns count="15">
    <x:tableColumn id="1" name="System"/>
    <x:tableColumn id="2" name="N atoms"/>
    <x:tableColumn id="3" name="N basis functions"/>
    <x:tableColumn id="4" name="PyFock energy (Eₕ)"/>
    <x:tableColumn id="5" name="PySCF energy (Eₕ)"/>
    <x:tableColumn id="6" name="Signed deviation (Eₕ)"/>
    <x:tableColumn id="7" name="Absolute deviation (Eₕ)"/>
    <x:tableColumn id="8" name="PyFock iterations"/>
    <x:tableColumn id="9" name="PySCF iterations"/>
    <x:tableColumn id="10" name="PyFock wall time (s)"/>
    <x:tableColumn id="11" name="PySCF wall time (s)"/>
    <x:tableColumn id="12" name="PyFock time / iteration (s)"/>
    <x:tableColumn id="13" name="PySCF time / iteration (s)"/>
    <x:tableColumn id="14" name="PyFock converged"/>
    <x:tableColumn id="15" name="PySCF converg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2ae03311cb4f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0" hidden="0" customWidth="1"/>
    <x:col min="3" max="3" width="3" hidden="0" customWidth="1"/>
    <x:col min="4" max="4" width="42" hidden="0" customWidth="1"/>
    <x:col min="5" max="5" width="20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15" t="str">
        <x:v>S22 numerical reproducibility — def2-TZVP</x:v>
      </x:c>
      <x:c r="B1" s="15"/>
      <x:c r="C1" s="15"/>
      <x:c r="D1" s="15"/>
      <x:c r="E1" s="15"/>
      <x:c r="F1" s="15"/>
      <x:c r="G1" s="15"/>
      <x:c r="H1" s="15"/>
    </x:row>
    <x:row r="2">
      <x:c r="A2" s="15"/>
      <x:c r="B2" s="15"/>
      <x:c r="C2" s="15"/>
      <x:c r="D2" s="15"/>
      <x:c r="E2" s="15"/>
      <x:c r="F2" s="15"/>
      <x:c r="G2" s="15"/>
      <x:c r="H2" s="15"/>
    </x:row>
    <x:row r="4">
      <x:c r="A4" s="17" t="str">
        <x:v>Accuracy statistic</x:v>
      </x:c>
      <x:c r="B4" s="17" t="str">
        <x:v>Value</x:v>
      </x:c>
      <x:c r="D4" s="17" t="str">
        <x:v>Timing / convergence statistic</x:v>
      </x:c>
      <x:c r="E4" s="17" t="str">
        <x:v>Value</x:v>
      </x:c>
    </x:row>
    <x:row r="5">
      <x:c r="A5" s="18" t="str">
        <x:v>RMSE (μEₕ)</x:v>
      </x:c>
      <x:c r="B5" s="19" t="n">
        <x:f>SQRT(SUMSQ('Results'!F2:F23)/COUNT('Results'!F2:F23))*1000000</x:f>
        <x:v>0.08357845431079527</x:v>
      </x:c>
      <x:c r="D5" s="18" t="str">
        <x:v>Systems evaluated</x:v>
      </x:c>
      <x:c r="E5" s="5" t="n">
        <x:f>COUNTA('Results'!A2:A23)</x:f>
        <x:v>22</x:v>
      </x:c>
    </x:row>
    <x:row r="6">
      <x:c r="A6" s="18" t="str">
        <x:v>MAE (μEₕ)</x:v>
      </x:c>
      <x:c r="B6" s="19" t="n">
        <x:f>AVERAGE('Results'!G2:G23)*1000000</x:f>
        <x:v>0.054384125162827826</x:v>
      </x:c>
      <x:c r="D6" s="18" t="str">
        <x:v>Total PyFock wall time (s)</x:v>
      </x:c>
      <x:c r="E6" s="7" t="n">
        <x:f>SUM('Results'!J2:J23)</x:f>
        <x:v>886.5900000000001</x:v>
      </x:c>
    </x:row>
    <x:row r="7">
      <x:c r="A7" s="18" t="str">
        <x:v>Mean signed error (μEₕ)</x:v>
      </x:c>
      <x:c r="B7" s="19" t="n">
        <x:f>AVERAGE('Results'!F2:F23)*1000000</x:f>
        <x:v>0.007729216055064502</x:v>
      </x:c>
      <x:c r="D7" s="18" t="str">
        <x:v>Total PySCF wall time (s)</x:v>
      </x:c>
      <x:c r="E7" s="7" t="n">
        <x:f>SUM('Results'!K2:K23)</x:f>
        <x:v>833.5753487489997</x:v>
      </x:c>
    </x:row>
    <x:row r="8">
      <x:c r="A8" s="18" t="str">
        <x:v>Median absolute error (μEₕ)</x:v>
      </x:c>
      <x:c r="B8" s="19" t="n">
        <x:f>MEDIAN('Results'!G2:G23)*1000000</x:f>
        <x:v>0.02854438463373299</x:v>
      </x:c>
      <x:c r="D8" s="18" t="str">
        <x:v>Overall wall-time ratio (PySCF / PyFock)</x:v>
      </x:c>
      <x:c r="E8" s="7" t="n">
        <x:f>E7/E6</x:f>
        <x:v>0.9402038696003785</x:v>
      </x:c>
    </x:row>
    <x:row r="9">
      <x:c r="A9" s="18" t="str">
        <x:v>95th percentile absolute error (μEₕ)</x:v>
      </x:c>
      <x:c r="B9" s="19" t="n">
        <x:f>PERCENTILE.INC('Results'!G2:G23,0.95)*1000000</x:f>
        <x:v>0.17554671000000002</x:v>
      </x:c>
      <x:c r="D9" s="18" t="str">
        <x:v>Mean PyFock time / iteration (s)</x:v>
      </x:c>
      <x:c r="E9" s="7" t="n">
        <x:f>AVERAGE('Results'!L2:L23)</x:f>
        <x:v>3.460219372798918</x:v>
      </x:c>
    </x:row>
    <x:row r="10">
      <x:c r="A10" s="18" t="str">
        <x:v>Maximum absolute deviation (μEₕ)</x:v>
      </x:c>
      <x:c r="B10" s="19" t="n">
        <x:f>MAX('Results'!G2:G23)*1000000</x:f>
        <x:v>0.21359937818488106</x:v>
      </x:c>
      <x:c r="D10" s="18" t="str">
        <x:v>Mean PySCF time / iteration (s)</x:v>
      </x:c>
      <x:c r="E10" s="7" t="n">
        <x:f>AVERAGE('Results'!M2:M23)</x:f>
        <x:v>3.2654579948170213</x:v>
      </x:c>
    </x:row>
    <x:row r="11">
      <x:c r="A11" s="18" t="str">
        <x:v>Maximum-deviation system</x:v>
      </x:c>
      <x:c r="B11" s="5" t="str">
        <x:f>INDEX('Results'!A2:A23,MATCH(MAX('Results'!G2:G23),'Results'!G2:G23,0))</x:f>
        <x:v>adenine_thymine_wcc1</x:v>
      </x:c>
      <x:c r="D11" s="18" t="str">
        <x:v>All PyFock calculations converged</x:v>
      </x:c>
      <x:c r="E11" s="5" t="str">
        <x:f>IF(COUNTIF('Results'!N2:N23,"Yes")=COUNTA('Results'!A2:A23),"Yes","No")</x:f>
        <x:v>Yes</x:v>
      </x:c>
    </x:row>
    <x:row r="12">
      <x:c r="A12" s="18" t="str">
        <x:v>R²</x:v>
      </x:c>
      <x:c r="B12" s="6" t="n">
        <x:f>RSQ('Results'!D2:D23,'Results'!E2:E23)</x:f>
        <x:v>1</x:v>
      </x:c>
      <x:c r="D12" s="18" t="str">
        <x:v>All PySCF calculations converged</x:v>
      </x:c>
      <x:c r="E12" s="5" t="str">
        <x:f>IF(COUNTIF('Results'!O2:O23,"Yes")=COUNTA('Results'!A2:A23),"Yes","No")</x:f>
        <x:v>Yes</x:v>
      </x:c>
    </x:row>
    <x:row r="14">
      <x:c r="A14" s="21" t="str">
        <x:v>Publication figure supplied alongside workbook (600 dpi PNG and vector PDF)</x:v>
      </x:c>
      <x:c r="B14" s="21"/>
      <x:c r="C14" s="21"/>
      <x:c r="D14" s="21"/>
      <x:c r="E14" s="21"/>
      <x:c r="F14" s="21"/>
      <x:c r="G14" s="21"/>
      <x:c r="H14" s="21"/>
    </x:row>
  </x:sheetData>
  <x:mergeCells>
    <x:mergeCell ref="A1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5" hidden="0" customWidth="1"/>
    <x:col min="9" max="9" width="15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17" hidden="0" customWidth="1"/>
    <x:col min="15" max="15" width="17" hidden="0" customWidth="1"/>
  </x:cols>
  <x:sheetData>
    <x:row r="1" ht="38" customHeight="1">
      <x:c r="A1" s="4" t="str">
        <x:v>System</x:v>
      </x:c>
      <x:c r="B1" s="4" t="str">
        <x:v>N atoms</x:v>
      </x:c>
      <x:c r="C1" s="4" t="str">
        <x:v>N basis functions</x:v>
      </x:c>
      <x:c r="D1" s="4" t="str">
        <x:v>PyFock energy (Eₕ)</x:v>
      </x:c>
      <x:c r="E1" s="4" t="str">
        <x:v>PySCF energy (Eₕ)</x:v>
      </x:c>
      <x:c r="F1" s="4" t="str">
        <x:v>Signed deviation (Eₕ)</x:v>
      </x:c>
      <x:c r="G1" s="4" t="str">
        <x:v>Absolute deviation (Eₕ)</x:v>
      </x:c>
      <x:c r="H1" s="4" t="str">
        <x:v>PyFock iterations</x:v>
      </x:c>
      <x:c r="I1" s="4" t="str">
        <x:v>PySCF iterations</x:v>
      </x:c>
      <x:c r="J1" s="4" t="str">
        <x:v>PyFock wall time (s)</x:v>
      </x:c>
      <x:c r="K1" s="4" t="str">
        <x:v>PySCF wall time (s)</x:v>
      </x:c>
      <x:c r="L1" s="4" t="str">
        <x:v>PyFock time / iteration (s)</x:v>
      </x:c>
      <x:c r="M1" s="4" t="str">
        <x:v>PySCF time / iteration (s)</x:v>
      </x:c>
      <x:c r="N1" s="4" t="str">
        <x:v>PyFock converged</x:v>
      </x:c>
      <x:c r="O1" s="4" t="str">
        <x:v>PySCF converged</x:v>
      </x:c>
    </x:row>
    <x:row r="2">
      <x:c r="A2" s="5" t="str">
        <x:v>adenine_thymine_stack</x:v>
      </x:c>
      <x:c r="B2" s="9" t="n">
        <x:v>30</x:v>
      </x:c>
      <x:c r="C2" s="9" t="n">
        <x:v>750</x:v>
      </x:c>
      <x:c r="D2" s="10" t="n">
        <x:v>-920.790698089821</x:v>
      </x:c>
      <x:c r="E2" s="10" t="n">
        <x:v>-920.7906982603135</x:v>
      </x:c>
      <x:c r="F2" s="10" t="n">
        <x:f>D2-E2</x:f>
        <x:v>1.7049251255230047e-7</x:v>
      </x:c>
      <x:c r="G2" s="10" t="n">
        <x:f>ABS(F2)</x:f>
        <x:v>1.7049251255230047e-7</x:v>
      </x:c>
      <x:c r="H2" s="9" t="n">
        <x:v>15</x:v>
      </x:c>
      <x:c r="I2" s="9" t="n">
        <x:v>14</x:v>
      </x:c>
      <x:c r="J2" s="11" t="n">
        <x:v>190.15</x:v>
      </x:c>
      <x:c r="K2" s="11" t="n">
        <x:v>140.973345375</x:v>
      </x:c>
      <x:c r="L2" s="11" t="n">
        <x:f>J2/H2</x:f>
        <x:v>12.676666666666668</x:v>
      </x:c>
      <x:c r="M2" s="11" t="n">
        <x:f>K2/I2</x:f>
        <x:v>10.069524669642858</x:v>
      </x:c>
      <x:c r="N2" s="12" t="str">
        <x:v>Yes</x:v>
      </x:c>
      <x:c r="O2" s="12" t="str">
        <x:v>Yes</x:v>
      </x:c>
    </x:row>
    <x:row r="3">
      <x:c r="A3" s="5" t="str">
        <x:v>adenine_thymine_wcc1</x:v>
      </x:c>
      <x:c r="B3" s="9" t="n">
        <x:v>30</x:v>
      </x:c>
      <x:c r="C3" s="9" t="n">
        <x:v>750</x:v>
      </x:c>
      <x:c r="D3" s="10" t="n">
        <x:v>-920.8105943586779</x:v>
      </x:c>
      <x:c r="E3" s="10" t="n">
        <x:v>-920.8105945722773</x:v>
      </x:c>
      <x:c r="F3" s="10" t="n">
        <x:f>D3-E3</x:f>
        <x:v>2.1359937818488106e-7</x:v>
      </x:c>
      <x:c r="G3" s="10" t="n">
        <x:f>ABS(F3)</x:f>
        <x:v>2.1359937818488106e-7</x:v>
      </x:c>
      <x:c r="H3" s="9" t="n">
        <x:v>15</x:v>
      </x:c>
      <x:c r="I3" s="9" t="n">
        <x:v>14</x:v>
      </x:c>
      <x:c r="J3" s="11" t="n">
        <x:v>101.39</x:v>
      </x:c>
      <x:c r="K3" s="11" t="n">
        <x:v>149.456601917</x:v>
      </x:c>
      <x:c r="L3" s="11" t="n">
        <x:f>J3/H3</x:f>
        <x:v>6.759333333333333</x:v>
      </x:c>
      <x:c r="M3" s="11" t="n">
        <x:f>K3/I3</x:f>
        <x:v>10.6754715655</x:v>
      </x:c>
      <x:c r="N3" s="12" t="str">
        <x:v>Yes</x:v>
      </x:c>
      <x:c r="O3" s="12" t="str">
        <x:v>Yes</x:v>
      </x:c>
    </x:row>
    <x:row r="4">
      <x:c r="A4" s="5" t="str">
        <x:v>c2h4_c2h2</x:v>
      </x:c>
      <x:c r="B4" s="9" t="n">
        <x:v>10</x:v>
      </x:c>
      <x:c r="C4" s="9" t="n">
        <x:v>180</x:v>
      </x:c>
      <x:c r="D4" s="10" t="n">
        <x:v>-155.7563483393315</x:v>
      </x:c>
      <x:c r="E4" s="10" t="n">
        <x:v>-155.75634835305516</x:v>
      </x:c>
      <x:c r="F4" s="10" t="n">
        <x:f>D4-E4</x:f>
        <x:v>1.3723649772146018e-8</x:v>
      </x:c>
      <x:c r="G4" s="10" t="n">
        <x:f>ABS(F4)</x:f>
        <x:v>1.3723649772146018e-8</x:v>
      </x:c>
      <x:c r="H4" s="9" t="n">
        <x:v>8</x:v>
      </x:c>
      <x:c r="I4" s="9" t="n">
        <x:v>8</x:v>
      </x:c>
      <x:c r="J4" s="11" t="n">
        <x:v>3.87</x:v>
      </x:c>
      <x:c r="K4" s="11" t="n">
        <x:v>2.5848897909999096</x:v>
      </x:c>
      <x:c r="L4" s="11" t="n">
        <x:f>J4/H4</x:f>
        <x:v>0.48375</x:v>
      </x:c>
      <x:c r="M4" s="11" t="n">
        <x:f>K4/I4</x:f>
        <x:v>0.3231112238749887</x:v>
      </x:c>
      <x:c r="N4" s="12" t="str">
        <x:v>Yes</x:v>
      </x:c>
      <x:c r="O4" s="12" t="str">
        <x:v>Yes</x:v>
      </x:c>
    </x:row>
    <x:row r="5">
      <x:c r="A5" s="5" t="str">
        <x:v>c2h4_c2h4</x:v>
      </x:c>
      <x:c r="B5" s="9" t="n">
        <x:v>12</x:v>
      </x:c>
      <x:c r="C5" s="9" t="n">
        <x:v>192</x:v>
      </x:c>
      <x:c r="D5" s="10" t="n">
        <x:v>-157.00392079818494</x:v>
      </x:c>
      <x:c r="E5" s="10" t="n">
        <x:v>-157.00392078532715</x:v>
      </x:c>
      <x:c r="F5" s="10" t="n">
        <x:f>D5-E5</x:f>
        <x:v>-1.285778239434876e-8</x:v>
      </x:c>
      <x:c r="G5" s="10" t="n">
        <x:f>ABS(F5)</x:f>
        <x:v>1.285778239434876e-8</x:v>
      </x:c>
      <x:c r="H5" s="9" t="n">
        <x:v>7</x:v>
      </x:c>
      <x:c r="I5" s="9" t="n">
        <x:v>7</x:v>
      </x:c>
      <x:c r="J5" s="11" t="n">
        <x:v>4.53</x:v>
      </x:c>
      <x:c r="K5" s="11" t="n">
        <x:v>3.3706522500000347</x:v>
      </x:c>
      <x:c r="L5" s="11" t="n">
        <x:f>J5/H5</x:f>
        <x:v>0.6471428571428571</x:v>
      </x:c>
      <x:c r="M5" s="11" t="n">
        <x:f>K5/I5</x:f>
        <x:v>0.48152175000000497</x:v>
      </x:c>
      <x:c r="N5" s="12" t="str">
        <x:v>Yes</x:v>
      </x:c>
      <x:c r="O5" s="12" t="str">
        <x:v>Yes</x:v>
      </x:c>
    </x:row>
    <x:row r="6">
      <x:c r="A6" s="5" t="str">
        <x:v>c6h6_c6h6_pd</x:v>
      </x:c>
      <x:c r="B6" s="9" t="n">
        <x:v>24</x:v>
      </x:c>
      <x:c r="C6" s="9" t="n">
        <x:v>504</x:v>
      </x:c>
      <x:c r="D6" s="10" t="n">
        <x:v>-464.0438486453445</x:v>
      </x:c>
      <x:c r="E6" s="10" t="n">
        <x:v>-464.0438486423651</x:v>
      </x:c>
      <x:c r="F6" s="10" t="n">
        <x:f>D6-E6</x:f>
        <x:v>-2.9793909561703913e-9</x:v>
      </x:c>
      <x:c r="G6" s="10" t="n">
        <x:f>ABS(F6)</x:f>
        <x:v>2.9793909561703913e-9</x:v>
      </x:c>
      <x:c r="H6" s="9" t="n">
        <x:v>9</x:v>
      </x:c>
      <x:c r="I6" s="9" t="n">
        <x:v>9</x:v>
      </x:c>
      <x:c r="J6" s="11" t="n">
        <x:v>36.68</x:v>
      </x:c>
      <x:c r="K6" s="11" t="n">
        <x:v>35.34617049999997</x:v>
      </x:c>
      <x:c r="L6" s="11" t="n">
        <x:f>J6/H6</x:f>
        <x:v>4.075555555555556</x:v>
      </x:c>
      <x:c r="M6" s="11" t="n">
        <x:f>K6/I6</x:f>
        <x:v>3.9273522777777745</x:v>
      </x:c>
      <x:c r="N6" s="12" t="str">
        <x:v>Yes</x:v>
      </x:c>
      <x:c r="O6" s="12" t="str">
        <x:v>Yes</x:v>
      </x:c>
    </x:row>
    <x:row r="7">
      <x:c r="A7" s="5" t="str">
        <x:v>c6h6_c6h6_t</x:v>
      </x:c>
      <x:c r="B7" s="9" t="n">
        <x:v>24</x:v>
      </x:c>
      <x:c r="C7" s="9" t="n">
        <x:v>504</x:v>
      </x:c>
      <x:c r="D7" s="10" t="n">
        <x:v>-464.0468773355203</x:v>
      </x:c>
      <x:c r="E7" s="10" t="n">
        <x:v>-464.04687728748684</x:v>
      </x:c>
      <x:c r="F7" s="10" t="n">
        <x:f>D7-E7</x:f>
        <x:v>-4.8033484745246824e-8</x:v>
      </x:c>
      <x:c r="G7" s="10" t="n">
        <x:f>ABS(F7)</x:f>
        <x:v>4.8033484745246824e-8</x:v>
      </x:c>
      <x:c r="H7" s="9" t="n">
        <x:v>9</x:v>
      </x:c>
      <x:c r="I7" s="9" t="n">
        <x:v>9</x:v>
      </x:c>
      <x:c r="J7" s="11" t="n">
        <x:v>46.94</x:v>
      </x:c>
      <x:c r="K7" s="11" t="n">
        <x:v>30.81473225000002</x:v>
      </x:c>
      <x:c r="L7" s="11" t="n">
        <x:f>J7/H7</x:f>
        <x:v>5.2155555555555555</x:v>
      </x:c>
      <x:c r="M7" s="11" t="n">
        <x:f>K7/I7</x:f>
        <x:v>3.4238591388888913</x:v>
      </x:c>
      <x:c r="N7" s="12" t="str">
        <x:v>Yes</x:v>
      </x:c>
      <x:c r="O7" s="12" t="str">
        <x:v>Yes</x:v>
      </x:c>
    </x:row>
    <x:row r="8">
      <x:c r="A8" s="5" t="str">
        <x:v>c6h6_ch4</x:v>
      </x:c>
      <x:c r="B8" s="9" t="n">
        <x:v>17</x:v>
      </x:c>
      <x:c r="C8" s="9" t="n">
        <x:v>312</x:v>
      </x:c>
      <x:c r="D8" s="10" t="n">
        <x:v>-272.4868218901928</x:v>
      </x:c>
      <x:c r="E8" s="10" t="n">
        <x:v>-272.4868220660055</x:v>
      </x:c>
      <x:c r="F8" s="10" t="n">
        <x:f>D8-E8</x:f>
        <x:v>1.7581271549715893e-7</x:v>
      </x:c>
      <x:c r="G8" s="10" t="n">
        <x:f>ABS(F8)</x:f>
        <x:v>1.7581271549715893e-7</x:v>
      </x:c>
      <x:c r="H8" s="9" t="n">
        <x:v>7</x:v>
      </x:c>
      <x:c r="I8" s="9" t="n">
        <x:v>7</x:v>
      </x:c>
      <x:c r="J8" s="11" t="n">
        <x:v>12.33</x:v>
      </x:c>
      <x:c r="K8" s="11" t="n">
        <x:v>9.001595666999947</x:v>
      </x:c>
      <x:c r="L8" s="11" t="n">
        <x:f>J8/H8</x:f>
        <x:v>1.7614285714285713</x:v>
      </x:c>
      <x:c r="M8" s="11" t="n">
        <x:f>K8/I8</x:f>
        <x:v>1.2859422381428496</x:v>
      </x:c>
      <x:c r="N8" s="12" t="str">
        <x:v>Yes</x:v>
      </x:c>
      <x:c r="O8" s="12" t="str">
        <x:v>Yes</x:v>
      </x:c>
    </x:row>
    <x:row r="9">
      <x:c r="A9" s="5" t="str">
        <x:v>c6h6_h2o</x:v>
      </x:c>
      <x:c r="B9" s="9" t="n">
        <x:v>15</x:v>
      </x:c>
      <x:c r="C9" s="9" t="n">
        <x:v>300</x:v>
      </x:c>
      <x:c r="D9" s="10" t="n">
        <x:v>-308.4055898569976</x:v>
      </x:c>
      <x:c r="E9" s="10" t="n">
        <x:v>-308.40558983625033</x:v>
      </x:c>
      <x:c r="F9" s="10" t="n">
        <x:f>D9-E9</x:f>
        <x:v>-2.0747279450006317e-8</x:v>
      </x:c>
      <x:c r="G9" s="10" t="n">
        <x:f>ABS(F9)</x:f>
        <x:v>2.0747279450006317e-8</x:v>
      </x:c>
      <x:c r="H9" s="9" t="n">
        <x:v>8</x:v>
      </x:c>
      <x:c r="I9" s="9" t="n">
        <x:v>9</x:v>
      </x:c>
      <x:c r="J9" s="11" t="n">
        <x:v>11.06</x:v>
      </x:c>
      <x:c r="K9" s="11" t="n">
        <x:v>10.042439583000032</x:v>
      </x:c>
      <x:c r="L9" s="11" t="n">
        <x:f>J9/H9</x:f>
        <x:v>1.3825</x:v>
      </x:c>
      <x:c r="M9" s="11" t="n">
        <x:f>K9/I9</x:f>
        <x:v>1.115826620333337</x:v>
      </x:c>
      <x:c r="N9" s="12" t="str">
        <x:v>Yes</x:v>
      </x:c>
      <x:c r="O9" s="12" t="str">
        <x:v>Yes</x:v>
      </x:c>
    </x:row>
    <x:row r="10">
      <x:c r="A10" s="5" t="str">
        <x:v>c6h6_hcn</x:v>
      </x:c>
      <x:c r="B10" s="9" t="n">
        <x:v>15</x:v>
      </x:c>
      <x:c r="C10" s="9" t="n">
        <x:v>330</x:v>
      </x:c>
      <x:c r="D10" s="10" t="n">
        <x:v>-325.3763946704247</x:v>
      </x:c>
      <x:c r="E10" s="10" t="n">
        <x:v>-325.3763946725905</x:v>
      </x:c>
      <x:c r="F10" s="10" t="n">
        <x:f>D10-E10</x:f>
        <x:v>2.165791102015646e-9</x:v>
      </x:c>
      <x:c r="G10" s="10" t="n">
        <x:f>ABS(F10)</x:f>
        <x:v>2.165791102015646e-9</x:v>
      </x:c>
      <x:c r="H10" s="9" t="n">
        <x:v>9</x:v>
      </x:c>
      <x:c r="I10" s="9" t="n">
        <x:v>10</x:v>
      </x:c>
      <x:c r="J10" s="11" t="n">
        <x:v>14.1</x:v>
      </x:c>
      <x:c r="K10" s="11" t="n">
        <x:v>12.350074667000058</x:v>
      </x:c>
      <x:c r="L10" s="11" t="n">
        <x:f>J10/H10</x:f>
        <x:v>1.5666666666666667</x:v>
      </x:c>
      <x:c r="M10" s="11" t="n">
        <x:f>K10/I10</x:f>
        <x:v>1.2350074667000057</x:v>
      </x:c>
      <x:c r="N10" s="12" t="str">
        <x:v>Yes</x:v>
      </x:c>
      <x:c r="O10" s="12" t="str">
        <x:v>Yes</x:v>
      </x:c>
    </x:row>
    <x:row r="11">
      <x:c r="A11" s="5" t="str">
        <x:v>c6h6_nh3</x:v>
      </x:c>
      <x:c r="B11" s="9" t="n">
        <x:v>16</x:v>
      </x:c>
      <x:c r="C11" s="9" t="n">
        <x:v>306</x:v>
      </x:c>
      <x:c r="D11" s="10" t="n">
        <x:v>-288.53408371198293</x:v>
      </x:c>
      <x:c r="E11" s="10" t="n">
        <x:v>-288.5340836902724</x:v>
      </x:c>
      <x:c r="F11" s="10" t="n">
        <x:f>D11-E11</x:f>
        <x:v>-2.171054802602157e-8</x:v>
      </x:c>
      <x:c r="G11" s="10" t="n">
        <x:f>ABS(F11)</x:f>
        <x:v>2.171054802602157e-8</x:v>
      </x:c>
      <x:c r="H11" s="9" t="n">
        <x:v>8</x:v>
      </x:c>
      <x:c r="I11" s="9" t="n">
        <x:v>8</x:v>
      </x:c>
      <x:c r="J11" s="11" t="n">
        <x:v>11.28</x:v>
      </x:c>
      <x:c r="K11" s="11" t="n">
        <x:v>9.388416875000075</x:v>
      </x:c>
      <x:c r="L11" s="11" t="n">
        <x:f>J11/H11</x:f>
        <x:v>1.41</x:v>
      </x:c>
      <x:c r="M11" s="11" t="n">
        <x:f>K11/I11</x:f>
        <x:v>1.1735521093750094</x:v>
      </x:c>
      <x:c r="N11" s="12" t="str">
        <x:v>Yes</x:v>
      </x:c>
      <x:c r="O11" s="12" t="str">
        <x:v>Yes</x:v>
      </x:c>
    </x:row>
    <x:row r="12">
      <x:c r="A12" s="5" t="str">
        <x:v>ch4_ch4</x:v>
      </x:c>
      <x:c r="B12" s="9" t="n">
        <x:v>10</x:v>
      </x:c>
      <x:c r="C12" s="9" t="n">
        <x:v>120</x:v>
      </x:c>
      <x:c r="D12" s="10" t="n">
        <x:v>-80.92737551122096</x:v>
      </x:c>
      <x:c r="E12" s="10" t="n">
        <x:v>-80.92737550854858</x:v>
      </x:c>
      <x:c r="F12" s="10" t="n">
        <x:f>D12-E12</x:f>
        <x:v>-2.672379650903167e-9</x:v>
      </x:c>
      <x:c r="G12" s="10" t="n">
        <x:f>ABS(F12)</x:f>
        <x:v>2.672379650903167e-9</x:v>
      </x:c>
      <x:c r="H12" s="9" t="n">
        <x:v>6</x:v>
      </x:c>
      <x:c r="I12" s="9" t="n">
        <x:v>7</x:v>
      </x:c>
      <x:c r="J12" s="11" t="n">
        <x:v>1.74</x:v>
      </x:c>
      <x:c r="K12" s="11" t="n">
        <x:v>1.5587389579999353</x:v>
      </x:c>
      <x:c r="L12" s="11" t="n">
        <x:f>J12/H12</x:f>
        <x:v>0.29</x:v>
      </x:c>
      <x:c r="M12" s="11" t="n">
        <x:f>K12/I12</x:f>
        <x:v>0.22267699399999077</x:v>
      </x:c>
      <x:c r="N12" s="12" t="str">
        <x:v>Yes</x:v>
      </x:c>
      <x:c r="O12" s="12" t="str">
        <x:v>Yes</x:v>
      </x:c>
    </x:row>
    <x:row r="13">
      <x:c r="A13" s="5" t="str">
        <x:v>formamide_formamide</x:v>
      </x:c>
      <x:c r="B13" s="9" t="n">
        <x:v>12</x:v>
      </x:c>
      <x:c r="C13" s="9" t="n">
        <x:v>252</x:v>
      </x:c>
      <x:c r="D13" s="10" t="n">
        <x:v>-339.5823195398533</x:v>
      </x:c>
      <x:c r="E13" s="10" t="n">
        <x:v>-339.5823195312069</x:v>
      </x:c>
      <x:c r="F13" s="10" t="n">
        <x:f>D13-E13</x:f>
        <x:v>-8.646395599498646e-9</x:v>
      </x:c>
      <x:c r="G13" s="10" t="n">
        <x:f>ABS(F13)</x:f>
        <x:v>8.646395599498646e-9</x:v>
      </x:c>
      <x:c r="H13" s="9" t="n">
        <x:v>9</x:v>
      </x:c>
      <x:c r="I13" s="9" t="n">
        <x:v>9</x:v>
      </x:c>
      <x:c r="J13" s="11" t="n">
        <x:v>6.57</x:v>
      </x:c>
      <x:c r="K13" s="11" t="n">
        <x:v>6.834243165999965</x:v>
      </x:c>
      <x:c r="L13" s="11" t="n">
        <x:f>J13/H13</x:f>
        <x:v>0.73</x:v>
      </x:c>
      <x:c r="M13" s="11" t="n">
        <x:f>K13/I13</x:f>
        <x:v>0.7593603517777738</x:v>
      </x:c>
      <x:c r="N13" s="12" t="str">
        <x:v>Yes</x:v>
      </x:c>
      <x:c r="O13" s="12" t="str">
        <x:v>Yes</x:v>
      </x:c>
    </x:row>
    <x:row r="14">
      <x:c r="A14" s="5" t="str">
        <x:v>h2co2_h2co2</x:v>
      </x:c>
      <x:c r="B14" s="9" t="n">
        <x:v>10</x:v>
      </x:c>
      <x:c r="C14" s="9" t="n">
        <x:v>240</x:v>
      </x:c>
      <x:c r="D14" s="10" t="n">
        <x:v>-379.3220945336382</x:v>
      </x:c>
      <x:c r="E14" s="10" t="n">
        <x:v>-379.3220943669198</x:v>
      </x:c>
      <x:c r="F14" s="10" t="n">
        <x:f>D14-E14</x:f>
        <x:v>-1.6671839375703712e-7</x:v>
      </x:c>
      <x:c r="G14" s="10" t="n">
        <x:f>ABS(F14)</x:f>
        <x:v>1.6671839375703712e-7</x:v>
      </x:c>
      <x:c r="H14" s="9" t="n">
        <x:v>9</x:v>
      </x:c>
      <x:c r="I14" s="9" t="n">
        <x:v>9</x:v>
      </x:c>
      <x:c r="J14" s="11" t="n">
        <x:v>5.68</x:v>
      </x:c>
      <x:c r="K14" s="11" t="n">
        <x:v>5.156003791999979</x:v>
      </x:c>
      <x:c r="L14" s="11" t="n">
        <x:f>J14/H14</x:f>
        <x:v>0.6311111111111111</x:v>
      </x:c>
      <x:c r="M14" s="11" t="n">
        <x:f>K14/I14</x:f>
        <x:v>0.5728893102222199</x:v>
      </x:c>
      <x:c r="N14" s="12" t="str">
        <x:v>Yes</x:v>
      </x:c>
      <x:c r="O14" s="12" t="str">
        <x:v>Yes</x:v>
      </x:c>
    </x:row>
    <x:row r="15">
      <x:c r="A15" s="5" t="str">
        <x:v>h2o_h2o</x:v>
      </x:c>
      <x:c r="B15" s="9" t="n">
        <x:v>6</x:v>
      </x:c>
      <x:c r="C15" s="9" t="n">
        <x:v>96</x:v>
      </x:c>
      <x:c r="D15" s="10" t="n">
        <x:v>-152.7645901734368</x:v>
      </x:c>
      <x:c r="E15" s="10" t="n">
        <x:v>-152.7645901384965</x:v>
      </x:c>
      <x:c r="F15" s="10" t="n">
        <x:f>D15-E15</x:f>
        <x:v>-3.494031375339546e-8</x:v>
      </x:c>
      <x:c r="G15" s="10" t="n">
        <x:f>ABS(F15)</x:f>
        <x:v>3.494031375339546e-8</x:v>
      </x:c>
      <x:c r="H15" s="9" t="n">
        <x:v>7</x:v>
      </x:c>
      <x:c r="I15" s="9" t="n">
        <x:v>7</x:v>
      </x:c>
      <x:c r="J15" s="11" t="n">
        <x:v>1.06</x:v>
      </x:c>
      <x:c r="K15" s="11" t="n">
        <x:v>0.8687713330000406</x:v>
      </x:c>
      <x:c r="L15" s="11" t="n">
        <x:f>J15/H15</x:f>
        <x:v>0.15142857142857144</x:v>
      </x:c>
      <x:c r="M15" s="11" t="n">
        <x:f>K15/I15</x:f>
        <x:v>0.12411019042857722</x:v>
      </x:c>
      <x:c r="N15" s="12" t="str">
        <x:v>Yes</x:v>
      </x:c>
      <x:c r="O15" s="12" t="str">
        <x:v>Yes</x:v>
      </x:c>
    </x:row>
    <x:row r="16">
      <x:c r="A16" s="5" t="str">
        <x:v>indole_c6h6_stack</x:v>
      </x:c>
      <x:c r="B16" s="9" t="n">
        <x:v>28</x:v>
      </x:c>
      <x:c r="C16" s="9" t="n">
        <x:v>618</x:v>
      </x:c>
      <x:c r="D16" s="10" t="n">
        <x:v>-595.5166081208279</x:v>
      </x:c>
      <x:c r="E16" s="10" t="n">
        <x:v>-595.516608107659</x:v>
      </x:c>
      <x:c r="F16" s="10" t="n">
        <x:f>D16-E16</x:f>
        <x:v>-1.3168914847483393e-8</x:v>
      </x:c>
      <x:c r="G16" s="10" t="n">
        <x:f>ABS(F16)</x:f>
        <x:v>1.3168914847483393e-8</x:v>
      </x:c>
      <x:c r="H16" s="9" t="n">
        <x:v>11</x:v>
      </x:c>
      <x:c r="I16" s="9" t="n">
        <x:v>11</x:v>
      </x:c>
      <x:c r="J16" s="11" t="n">
        <x:v>81.01</x:v>
      </x:c>
      <x:c r="K16" s="11" t="n">
        <x:v>65.61107133300004</x:v>
      </x:c>
      <x:c r="L16" s="11" t="n">
        <x:f>J16/H16</x:f>
        <x:v>7.364545454545455</x:v>
      </x:c>
      <x:c r="M16" s="11" t="n">
        <x:f>K16/I16</x:f>
        <x:v>5.964642848454549</x:v>
      </x:c>
      <x:c r="N16" s="12" t="str">
        <x:v>Yes</x:v>
      </x:c>
      <x:c r="O16" s="12" t="str">
        <x:v>Yes</x:v>
      </x:c>
    </x:row>
    <x:row r="17">
      <x:c r="A17" s="5" t="str">
        <x:v>indole_c6h6_t</x:v>
      </x:c>
      <x:c r="B17" s="9" t="n">
        <x:v>28</x:v>
      </x:c>
      <x:c r="C17" s="9" t="n">
        <x:v>618</x:v>
      </x:c>
      <x:c r="D17" s="10" t="n">
        <x:v>-595.5232746303884</x:v>
      </x:c>
      <x:c r="E17" s="10" t="n">
        <x:v>-595.5232746236559</x:v>
      </x:c>
      <x:c r="F17" s="10" t="n">
        <x:f>D17-E17</x:f>
        <x:v>-6.732534529874101e-9</x:v>
      </x:c>
      <x:c r="G17" s="10" t="n">
        <x:f>ABS(F17)</x:f>
        <x:v>6.732534529874101e-9</x:v>
      </x:c>
      <x:c r="H17" s="9" t="n">
        <x:v>11</x:v>
      </x:c>
      <x:c r="I17" s="9" t="n">
        <x:v>11</x:v>
      </x:c>
      <x:c r="J17" s="11" t="n">
        <x:v>65.5</x:v>
      </x:c>
      <x:c r="K17" s="11" t="n">
        <x:v>63.17985399999998</x:v>
      </x:c>
      <x:c r="L17" s="11" t="n">
        <x:f>J17/H17</x:f>
        <x:v>5.954545454545454</x:v>
      </x:c>
      <x:c r="M17" s="11" t="n">
        <x:f>K17/I17</x:f>
        <x:v>5.743623090909089</x:v>
      </x:c>
      <x:c r="N17" s="12" t="str">
        <x:v>Yes</x:v>
      </x:c>
      <x:c r="O17" s="12" t="str">
        <x:v>Yes</x:v>
      </x:c>
    </x:row>
    <x:row r="18">
      <x:c r="A18" s="5" t="str">
        <x:v>nh3_nh3</x:v>
      </x:c>
      <x:c r="B18" s="9" t="n">
        <x:v>8</x:v>
      </x:c>
      <x:c r="C18" s="9" t="n">
        <x:v>108</x:v>
      </x:c>
      <x:c r="D18" s="10" t="n">
        <x:v>-113.02331184031299</x:v>
      </x:c>
      <x:c r="E18" s="10" t="n">
        <x:v>-113.02331181279416</x:v>
      </x:c>
      <x:c r="F18" s="10" t="n">
        <x:f>D18-E18</x:f>
        <x:v>-2.7518822776073648e-8</x:v>
      </x:c>
      <x:c r="G18" s="10" t="n">
        <x:f>ABS(F18)</x:f>
        <x:v>2.7518822776073648e-8</x:v>
      </x:c>
      <x:c r="H18" s="9" t="n">
        <x:v>7</x:v>
      </x:c>
      <x:c r="I18" s="9" t="n">
        <x:v>6</x:v>
      </x:c>
      <x:c r="J18" s="11" t="n">
        <x:v>1.34</x:v>
      </x:c>
      <x:c r="K18" s="11" t="n">
        <x:v>1.1159973339999851</x:v>
      </x:c>
      <x:c r="L18" s="11" t="n">
        <x:f>J18/H18</x:f>
        <x:v>0.19142857142857145</x:v>
      </x:c>
      <x:c r="M18" s="11" t="n">
        <x:f>K18/I18</x:f>
        <x:v>0.18599955566666418</x:v>
      </x:c>
      <x:c r="N18" s="12" t="str">
        <x:v>Yes</x:v>
      </x:c>
      <x:c r="O18" s="12" t="str">
        <x:v>Yes</x:v>
      </x:c>
    </x:row>
    <x:row r="19">
      <x:c r="A19" s="5" t="str">
        <x:v>phenol_phenol</x:v>
      </x:c>
      <x:c r="B19" s="9" t="n">
        <x:v>26</x:v>
      </x:c>
      <x:c r="C19" s="9" t="n">
        <x:v>576</x:v>
      </x:c>
      <x:c r="D19" s="10" t="n">
        <x:v>-614.4291095267645</x:v>
      </x:c>
      <x:c r="E19" s="10" t="n">
        <x:v>-614.4291094489423</x:v>
      </x:c>
      <x:c r="F19" s="10" t="n">
        <x:f>D19-E19</x:f>
        <x:v>-7.782216471241554e-8</x:v>
      </x:c>
      <x:c r="G19" s="10" t="n">
        <x:f>ABS(F19)</x:f>
        <x:v>7.782216471241554e-8</x:v>
      </x:c>
      <x:c r="H19" s="9" t="n">
        <x:v>11</x:v>
      </x:c>
      <x:c r="I19" s="9" t="n">
        <x:v>10</x:v>
      </x:c>
      <x:c r="J19" s="11" t="n">
        <x:v>53.23</x:v>
      </x:c>
      <x:c r="K19" s="11" t="n">
        <x:v>48.693389000000025</x:v>
      </x:c>
      <x:c r="L19" s="11" t="n">
        <x:f>J19/H19</x:f>
        <x:v>4.839090909090909</x:v>
      </x:c>
      <x:c r="M19" s="11" t="n">
        <x:f>K19/I19</x:f>
        <x:v>4.8693389000000025</x:v>
      </x:c>
      <x:c r="N19" s="12" t="str">
        <x:v>Yes</x:v>
      </x:c>
      <x:c r="O19" s="12" t="str">
        <x:v>Yes</x:v>
      </x:c>
    </x:row>
    <x:row r="20">
      <x:c r="A20" s="5" t="str">
        <x:v>pyrazine_pyrazine</x:v>
      </x:c>
      <x:c r="B20" s="9" t="n">
        <x:v>20</x:v>
      </x:c>
      <x:c r="C20" s="9" t="n">
        <x:v>480</x:v>
      </x:c>
      <x:c r="D20" s="10" t="n">
        <x:v>-528.1924654016979</x:v>
      </x:c>
      <x:c r="E20" s="10" t="n">
        <x:v>-528.1924653626122</x:v>
      </x:c>
      <x:c r="F20" s="10" t="n">
        <x:f>D20-E20</x:f>
        <x:v>-3.908564849552931e-8</x:v>
      </x:c>
      <x:c r="G20" s="10" t="n">
        <x:f>ABS(F20)</x:f>
        <x:v>3.908564849552931e-8</x:v>
      </x:c>
      <x:c r="H20" s="9" t="n">
        <x:v>10</x:v>
      </x:c>
      <x:c r="I20" s="9" t="n">
        <x:v>9</x:v>
      </x:c>
      <x:c r="J20" s="11" t="n">
        <x:v>40.66</x:v>
      </x:c>
      <x:c r="K20" s="11" t="n">
        <x:v>28.81267508299993</x:v>
      </x:c>
      <x:c r="L20" s="11" t="n">
        <x:f>J20/H20</x:f>
        <x:v>4.066</x:v>
      </x:c>
      <x:c r="M20" s="11" t="n">
        <x:f>K20/I20</x:f>
        <x:v>3.2014083425555477</x:v>
      </x:c>
      <x:c r="N20" s="12" t="str">
        <x:v>Yes</x:v>
      </x:c>
      <x:c r="O20" s="12" t="str">
        <x:v>Yes</x:v>
      </x:c>
    </x:row>
    <x:row r="21">
      <x:c r="A21" s="5" t="str">
        <x:v>pyridoxine_aminopyridine</x:v>
      </x:c>
      <x:c r="B21" s="9" t="n">
        <x:v>25</x:v>
      </x:c>
      <x:c r="C21" s="9" t="n">
        <x:v>570</x:v>
      </x:c>
      <x:c r="D21" s="10" t="n">
        <x:v>-626.6856497348904</x:v>
      </x:c>
      <x:c r="E21" s="10" t="n">
        <x:v>-626.6856497053204</x:v>
      </x:c>
      <x:c r="F21" s="10" t="n">
        <x:f>D21-E21</x:f>
        <x:v>-2.956994649139233e-8</x:v>
      </x:c>
      <x:c r="G21" s="10" t="n">
        <x:f>ABS(F21)</x:f>
        <x:v>2.956994649139233e-8</x:v>
      </x:c>
      <x:c r="H21" s="9" t="n">
        <x:v>12</x:v>
      </x:c>
      <x:c r="I21" s="9" t="n">
        <x:v>13</x:v>
      </x:c>
      <x:c r="J21" s="11" t="n">
        <x:v>51.82</x:v>
      </x:c>
      <x:c r="K21" s="11" t="n">
        <x:v>65.1276785829998</x:v>
      </x:c>
      <x:c r="L21" s="11" t="n">
        <x:f>J21/H21</x:f>
        <x:v>4.318333333333333</x:v>
      </x:c>
      <x:c r="M21" s="11" t="n">
        <x:f>K21/I21</x:f>
        <x:v>5.009821429461524</x:v>
      </x:c>
      <x:c r="N21" s="12" t="str">
        <x:v>Yes</x:v>
      </x:c>
      <x:c r="O21" s="12" t="str">
        <x:v>Yes</x:v>
      </x:c>
    </x:row>
    <x:row r="22">
      <x:c r="A22" s="5" t="str">
        <x:v>uracil_uracil_hb</x:v>
      </x:c>
      <x:c r="B22" s="9" t="n">
        <x:v>24</x:v>
      </x:c>
      <x:c r="C22" s="9" t="n">
        <x:v>624</x:v>
      </x:c>
      <x:c r="D22" s="10" t="n">
        <x:v>-829.101678287891</x:v>
      </x:c>
      <x:c r="E22" s="10" t="n">
        <x:v>-829.1016783514649</x:v>
      </x:c>
      <x:c r="F22" s="10" t="n">
        <x:f>D22-E22</x:f>
        <x:v>6.357390702760313e-8</x:v>
      </x:c>
      <x:c r="G22" s="10" t="n">
        <x:f>ABS(F22)</x:f>
        <x:v>6.357390702760313e-8</x:v>
      </x:c>
      <x:c r="H22" s="9" t="n">
        <x:v>12</x:v>
      </x:c>
      <x:c r="I22" s="9" t="n">
        <x:v>13</x:v>
      </x:c>
      <x:c r="J22" s="11" t="n">
        <x:v>63.32</x:v>
      </x:c>
      <x:c r="K22" s="11" t="n">
        <x:v>72.63850808300003</x:v>
      </x:c>
      <x:c r="L22" s="11" t="n">
        <x:f>J22/H22</x:f>
        <x:v>5.276666666666666</x:v>
      </x:c>
      <x:c r="M22" s="11" t="n">
        <x:f>K22/I22</x:f>
        <x:v>5.587577544846156</x:v>
      </x:c>
      <x:c r="N22" s="12" t="str">
        <x:v>Yes</x:v>
      </x:c>
      <x:c r="O22" s="12" t="str">
        <x:v>Yes</x:v>
      </x:c>
    </x:row>
    <x:row r="23">
      <x:c r="A23" s="5" t="str">
        <x:v>uracil_uracil_stack</x:v>
      </x:c>
      <x:c r="B23" s="9" t="n">
        <x:v>24</x:v>
      </x:c>
      <x:c r="C23" s="9" t="n">
        <x:v>624</x:v>
      </x:c>
      <x:c r="D23" s="10" t="n">
        <x:v>-829.0781806914533</x:v>
      </x:c>
      <x:c r="E23" s="10" t="n">
        <x:v>-829.0781807353321</x:v>
      </x:c>
      <x:c r="F23" s="10" t="n">
        <x:f>D23-E23</x:f>
        <x:v>4.3878799260710366e-8</x:v>
      </x:c>
      <x:c r="G23" s="10" t="n">
        <x:f>ABS(F23)</x:f>
        <x:v>4.3878799260710366e-8</x:v>
      </x:c>
      <x:c r="H23" s="9" t="n">
        <x:v>13</x:v>
      </x:c>
      <x:c r="I23" s="9" t="n">
        <x:v>12</x:v>
      </x:c>
      <x:c r="J23" s="11" t="n">
        <x:v>82.33</x:v>
      </x:c>
      <x:c r="K23" s="11" t="n">
        <x:v>70.64949920899994</x:v>
      </x:c>
      <x:c r="L23" s="11" t="n">
        <x:f>J23/H23</x:f>
        <x:v>6.333076923076923</x:v>
      </x:c>
      <x:c r="M23" s="11" t="n">
        <x:f>K23/I23</x:f>
        <x:v>5.887458267416662</x:v>
      </x:c>
      <x:c r="N23" s="12" t="str">
        <x:v>Yes</x:v>
      </x:c>
      <x:c r="O23" s="12" t="str">
        <x:v>Yes</x:v>
      </x:c>
    </x:row>
  </x:sheetData>
  <x:conditionalFormatting sqref="G2:G23">
    <x:cfRule type="colorScale" priority="1">
      <x:colorScale>
        <x:cfvo type="min"/>
        <x:cfvo type="percentile" val="50"/>
        <x:cfvo type="max"/>
        <x:color rgb="FFE7F4E4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32ae03311cb4f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76" hidden="0" customWidth="1"/>
  </x:cols>
  <x:sheetData>
    <x:row r="1">
      <x:c r="A1" s="3" t="str">
        <x:v>Benchmark setting</x:v>
      </x:c>
      <x:c r="B1" s="3" t="str">
        <x:v>Value</x:v>
      </x:c>
    </x:row>
    <x:row r="2">
      <x:c r="A2" s="22" t="str">
        <x:v>Dataset</x:v>
      </x:c>
      <x:c r="B2" s="22" t="str">
        <x:v>S22 (22 noncovalent dimers)</x:v>
      </x:c>
    </x:row>
    <x:row r="3">
      <x:c r="A3" s="22" t="str">
        <x:v>Basis set</x:v>
      </x:c>
      <x:c r="B3" s="22" t="str">
        <x:v>def2-TZVP</x:v>
      </x:c>
    </x:row>
    <x:row r="4">
      <x:c r="A4" s="22" t="str">
        <x:v>Exchange-correlation functional</x:v>
      </x:c>
      <x:c r="B4" s="22" t="str">
        <x:v>PBE (LibXC IDs 101,130)</x:v>
      </x:c>
    </x:row>
    <x:row r="5">
      <x:c r="A5" s="22" t="str">
        <x:v>Auxiliary basis</x:v>
      </x:c>
      <x:c r="B5" s="22" t="str">
        <x:v>def2-universal-jfit</x:v>
      </x:c>
    </x:row>
    <x:row r="6">
      <x:c r="A6" s="22" t="str">
        <x:v>Grid</x:v>
      </x:c>
      <x:c r="B6" s="22" t="str">
        <x:v>PySCF level 3; identical grid supplied to PyFock</x:v>
      </x:c>
    </x:row>
    <x:row r="7">
      <x:c r="A7" s="22" t="str">
        <x:v>Initial density</x:v>
      </x:c>
      <x:c r="B7" s="22" t="str">
        <x:v>PySCF MINAO density supplied to both codes</x:v>
      </x:c>
    </x:row>
    <x:row r="8">
      <x:c r="A8" s="22" t="str">
        <x:v>SCF energy convergence threshold</x:v>
      </x:c>
      <x:c r="B8" s="22" t="str">
        <x:v>1e-7 Eₕ</x:v>
      </x:c>
    </x:row>
    <x:row r="9">
      <x:c r="A9" s="22" t="str">
        <x:v>Maximum SCF iterations</x:v>
      </x:c>
      <x:c r="B9" s="22" t="n">
        <x:v>50</x:v>
      </x:c>
    </x:row>
    <x:row r="10">
      <x:c r="A10" s="22" t="str">
        <x:v>CPU cores</x:v>
      </x:c>
      <x:c r="B10" s="22" t="n">
        <x:v>4</x:v>
      </x:c>
    </x:row>
    <x:row r="11">
      <x:c r="A11" s="22"/>
      <x:c r="B11" s="22"/>
    </x:row>
    <x:row r="12">
      <x:c r="A12" s="23" t="str">
        <x:v>Definition</x:v>
      </x:c>
      <x:c r="B12" s="23" t="str">
        <x:v>Formula / interpretation</x:v>
      </x:c>
    </x:row>
    <x:row r="13">
      <x:c r="A13" s="22" t="str">
        <x:v>Signed deviation</x:v>
      </x:c>
      <x:c r="B13" s="22" t="str">
        <x:v>PyFock energy − PySCF energy</x:v>
      </x:c>
    </x:row>
    <x:row r="14">
      <x:c r="A14" s="22" t="str">
        <x:v>Wall time</x:v>
      </x:c>
      <x:c r="B14" s="22" t="str">
        <x:v>PySCF: “PySCF time” log entry; PyFock: “Complete SCF” profiling entry</x:v>
      </x:c>
    </x:row>
    <x:row r="15">
      <x:c r="A15" s="22" t="str">
        <x:v>Time / iteration</x:v>
      </x:c>
      <x:c r="B15" s="22" t="str">
        <x:v>Complete wall time divided by reported SCF iterations</x:v>
      </x:c>
    </x:row>
  </x:sheetData>
  <x:pageMargins left="0.7" right="0.7" top="0.75" bottom="0.75" header="0.3" footer="0.3"/>
</x:worksheet>
</file>