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cuments/PyFock/benchmarks_tests/FINAL_Benchmarks_for_paper/"/>
    </mc:Choice>
  </mc:AlternateContent>
  <xr:revisionPtr revIDLastSave="0" documentId="13_ncr:1_{BFAD117A-340D-F943-B3BB-008BD4E89C57}" xr6:coauthVersionLast="47" xr6:coauthVersionMax="47" xr10:uidLastSave="{00000000-0000-0000-0000-000000000000}"/>
  <bookViews>
    <workbookView xWindow="1080" yWindow="1260" windowWidth="27640" windowHeight="16460" xr2:uid="{0352C87C-B4A4-4D4C-883B-F1396BEEB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</calcChain>
</file>

<file path=xl/sharedStrings.xml><?xml version="1.0" encoding="utf-8"?>
<sst xmlns="http://schemas.openxmlformats.org/spreadsheetml/2006/main" count="37" uniqueCount="26">
  <si>
    <t>PyFock CPU vs GPU</t>
  </si>
  <si>
    <t>water clusters</t>
  </si>
  <si>
    <t>def2-SVP</t>
  </si>
  <si>
    <t>No. of water molecules</t>
  </si>
  <si>
    <t>No. of basis functions</t>
  </si>
  <si>
    <t>Total Time Taken (s)</t>
  </si>
  <si>
    <t>J time (s)</t>
  </si>
  <si>
    <t>XC (s)</t>
  </si>
  <si>
    <t>Iterations</t>
  </si>
  <si>
    <t>Total Time Taken (s) / iter</t>
  </si>
  <si>
    <t>J time (s) / iter</t>
  </si>
  <si>
    <t>XC (s) / iter</t>
  </si>
  <si>
    <t>GPU</t>
  </si>
  <si>
    <t>CPU</t>
  </si>
  <si>
    <t>Comparison Total</t>
  </si>
  <si>
    <t>Total time/iter (s) GPU</t>
  </si>
  <si>
    <t>Total time/iter (s) CPU</t>
  </si>
  <si>
    <t>XC / iter (s) (CPU)</t>
  </si>
  <si>
    <t>XC / iter (s) (GPU)</t>
  </si>
  <si>
    <t>J  / iter (s) (CPU)</t>
  </si>
  <si>
    <t>J  / iter (s) (GPU)</t>
  </si>
  <si>
    <t>Cholesky off</t>
  </si>
  <si>
    <t>save ao off</t>
  </si>
  <si>
    <t>xc block 20480</t>
  </si>
  <si>
    <t>3c2e ints threads 8x8</t>
  </si>
  <si>
    <t>max register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</si>
</sst>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E5BC-ACB8-5342-8560-2CBC0237DCD6}">
  <dimension ref="A1:I41"/>
  <sheetViews>
    <sheetView tabSelected="1" topLeftCell="A11" workbookViewId="0">
      <selection activeCell="G44" sqref="G44"/>
    </sheetView>
  </sheetViews>
  <sheetFormatPr baseColWidth="10" defaultRowHeight="16" x14ac:dyDescent="0.2"/>
  <cols>
    <col min="1" max="1" width="21.6640625" customWidth="1"/>
    <col min="2" max="2" width="21.1640625" customWidth="1"/>
    <col min="3" max="3" width="19.6640625" customWidth="1"/>
    <col min="4" max="4" width="19.5" customWidth="1"/>
    <col min="5" max="5" width="20.33203125" customWidth="1"/>
    <col min="6" max="6" width="19.5" customWidth="1"/>
    <col min="7" max="7" width="24" customWidth="1"/>
    <col min="8" max="8" width="20.33203125" customWidth="1"/>
  </cols>
  <sheetData>
    <row r="1" spans="1:9" x14ac:dyDescent="0.2">
      <c r="A1" s="1" t="s">
        <v>0</v>
      </c>
    </row>
    <row r="2" spans="1:9" x14ac:dyDescent="0.2">
      <c r="A2" s="1" t="s">
        <v>1</v>
      </c>
      <c r="B2" t="s">
        <v>21</v>
      </c>
      <c r="C2" t="s">
        <v>24</v>
      </c>
    </row>
    <row r="3" spans="1:9" x14ac:dyDescent="0.2">
      <c r="A3" s="1" t="s">
        <v>2</v>
      </c>
      <c r="B3" t="s">
        <v>22</v>
      </c>
      <c r="C3" t="s">
        <v>25</v>
      </c>
    </row>
    <row r="4" spans="1:9" x14ac:dyDescent="0.2">
      <c r="A4" s="1" t="s">
        <v>12</v>
      </c>
      <c r="B4" t="s">
        <v>23</v>
      </c>
    </row>
    <row r="5" spans="1:9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">
      <c r="A6">
        <v>1</v>
      </c>
      <c r="B6">
        <v>25</v>
      </c>
      <c r="C6" s="2"/>
      <c r="D6" s="2"/>
      <c r="E6" s="2"/>
      <c r="F6" s="2"/>
      <c r="G6" t="e">
        <f>C6/F6</f>
        <v>#DIV/0!</v>
      </c>
      <c r="H6" t="e">
        <f>D6/F6</f>
        <v>#DIV/0!</v>
      </c>
      <c r="I6" t="e">
        <f>E6/F6</f>
        <v>#DIV/0!</v>
      </c>
    </row>
    <row r="7" spans="1:9" x14ac:dyDescent="0.2">
      <c r="A7">
        <v>5</v>
      </c>
      <c r="B7">
        <v>125</v>
      </c>
      <c r="C7" s="2"/>
      <c r="D7" s="2"/>
      <c r="E7" s="2"/>
      <c r="F7" s="2"/>
      <c r="G7" t="e">
        <f t="shared" ref="G7:G14" si="0">C7/F7</f>
        <v>#DIV/0!</v>
      </c>
      <c r="H7" t="e">
        <f t="shared" ref="H7:H14" si="1">D7/F7</f>
        <v>#DIV/0!</v>
      </c>
      <c r="I7" t="e">
        <f t="shared" ref="I7:I14" si="2">E7/F7</f>
        <v>#DIV/0!</v>
      </c>
    </row>
    <row r="8" spans="1:9" x14ac:dyDescent="0.2">
      <c r="A8">
        <v>10</v>
      </c>
      <c r="B8">
        <v>250</v>
      </c>
      <c r="C8" s="2">
        <v>2.3584191547706701</v>
      </c>
      <c r="D8" s="2">
        <v>0.85601592343300503</v>
      </c>
      <c r="E8" s="2">
        <v>0.66070588957518295</v>
      </c>
      <c r="F8" s="2">
        <v>13</v>
      </c>
      <c r="G8">
        <f t="shared" si="0"/>
        <v>0.18141685805928232</v>
      </c>
      <c r="H8">
        <f t="shared" si="1"/>
        <v>6.5847378725615774E-2</v>
      </c>
      <c r="I8">
        <f t="shared" si="2"/>
        <v>5.0823529967321764E-2</v>
      </c>
    </row>
    <row r="9" spans="1:9" x14ac:dyDescent="0.2">
      <c r="A9">
        <v>20</v>
      </c>
      <c r="B9">
        <v>500</v>
      </c>
      <c r="C9" s="2">
        <v>5.7691683680750403</v>
      </c>
      <c r="D9" s="2">
        <v>2.1158297739457299</v>
      </c>
      <c r="E9" s="2">
        <v>2.0066158876288598</v>
      </c>
      <c r="F9" s="2">
        <v>13</v>
      </c>
      <c r="G9">
        <f t="shared" si="0"/>
        <v>0.44378218215961851</v>
      </c>
      <c r="H9">
        <f t="shared" si="1"/>
        <v>0.16275613645736384</v>
      </c>
      <c r="I9">
        <f t="shared" si="2"/>
        <v>0.15435506827914305</v>
      </c>
    </row>
    <row r="10" spans="1:9" x14ac:dyDescent="0.2">
      <c r="A10">
        <v>32</v>
      </c>
      <c r="B10">
        <v>800</v>
      </c>
      <c r="C10" s="2">
        <v>12.2090913550928</v>
      </c>
      <c r="D10" s="2">
        <v>5.2523773421998996</v>
      </c>
      <c r="E10" s="2">
        <v>3.9277749070897698</v>
      </c>
      <c r="F10" s="2">
        <v>15</v>
      </c>
      <c r="G10">
        <f t="shared" si="0"/>
        <v>0.81393942367285332</v>
      </c>
      <c r="H10">
        <f t="shared" si="1"/>
        <v>0.35015848947999328</v>
      </c>
      <c r="I10">
        <f t="shared" si="2"/>
        <v>0.26185166047265135</v>
      </c>
    </row>
    <row r="11" spans="1:9" x14ac:dyDescent="0.2">
      <c r="A11">
        <v>47</v>
      </c>
      <c r="B11">
        <v>1175</v>
      </c>
      <c r="C11" s="2">
        <v>23.0492668540682</v>
      </c>
      <c r="D11" s="2">
        <v>11.764931902987801</v>
      </c>
      <c r="E11" s="2">
        <v>6.2060886947438103</v>
      </c>
      <c r="F11" s="2">
        <v>15</v>
      </c>
      <c r="G11">
        <f t="shared" si="0"/>
        <v>1.5366177902712133</v>
      </c>
      <c r="H11">
        <f t="shared" si="1"/>
        <v>0.78432879353252005</v>
      </c>
      <c r="I11">
        <f t="shared" si="2"/>
        <v>0.41373924631625403</v>
      </c>
    </row>
    <row r="12" spans="1:9" x14ac:dyDescent="0.2">
      <c r="A12">
        <v>76</v>
      </c>
      <c r="B12">
        <v>1900</v>
      </c>
      <c r="C12" s="2">
        <v>55.972384363878497</v>
      </c>
      <c r="D12" s="2">
        <v>31.8730793460272</v>
      </c>
      <c r="E12" s="2">
        <v>13.263924242928599</v>
      </c>
      <c r="F12" s="2">
        <v>17</v>
      </c>
      <c r="G12">
        <f t="shared" si="0"/>
        <v>3.2924931978752059</v>
      </c>
      <c r="H12">
        <f t="shared" si="1"/>
        <v>1.8748870203545411</v>
      </c>
      <c r="I12">
        <f t="shared" si="2"/>
        <v>0.78023083781932934</v>
      </c>
    </row>
    <row r="13" spans="1:9" x14ac:dyDescent="0.2">
      <c r="A13">
        <v>100</v>
      </c>
      <c r="B13">
        <v>2500</v>
      </c>
      <c r="C13" s="2">
        <v>88.581307347165406</v>
      </c>
      <c r="D13" s="2">
        <v>57.356785830110297</v>
      </c>
      <c r="E13" s="2">
        <v>16.1813672701828</v>
      </c>
      <c r="F13" s="2">
        <v>15</v>
      </c>
      <c r="G13">
        <f t="shared" si="0"/>
        <v>5.9054204898110267</v>
      </c>
      <c r="H13">
        <f t="shared" si="1"/>
        <v>3.823785722007353</v>
      </c>
      <c r="I13">
        <f t="shared" si="2"/>
        <v>1.0787578180121866</v>
      </c>
    </row>
    <row r="14" spans="1:9" x14ac:dyDescent="0.2">
      <c r="A14">
        <v>139</v>
      </c>
      <c r="B14">
        <v>3475</v>
      </c>
      <c r="C14" s="2">
        <v>171.51697664405199</v>
      </c>
      <c r="D14" s="2">
        <v>114.241373233031</v>
      </c>
      <c r="E14" s="2">
        <v>26.2381101583596</v>
      </c>
      <c r="F14" s="2">
        <v>16</v>
      </c>
      <c r="G14">
        <f t="shared" si="0"/>
        <v>10.71981104025325</v>
      </c>
      <c r="H14">
        <f t="shared" si="1"/>
        <v>7.1400858270644374</v>
      </c>
      <c r="I14">
        <f t="shared" si="2"/>
        <v>1.639881884897475</v>
      </c>
    </row>
    <row r="17" spans="1:9" x14ac:dyDescent="0.2">
      <c r="A17" s="1" t="s">
        <v>13</v>
      </c>
    </row>
    <row r="18" spans="1:9" x14ac:dyDescent="0.2">
      <c r="A18" s="1" t="s">
        <v>3</v>
      </c>
      <c r="B18" s="1" t="s">
        <v>4</v>
      </c>
      <c r="C18" s="1" t="s">
        <v>5</v>
      </c>
      <c r="D18" s="1" t="s">
        <v>6</v>
      </c>
      <c r="E18" s="1" t="s">
        <v>7</v>
      </c>
      <c r="F18" s="1" t="s">
        <v>8</v>
      </c>
      <c r="G18" s="1" t="s">
        <v>9</v>
      </c>
      <c r="H18" s="1" t="s">
        <v>10</v>
      </c>
      <c r="I18" s="1" t="s">
        <v>11</v>
      </c>
    </row>
    <row r="19" spans="1:9" x14ac:dyDescent="0.2">
      <c r="A19" s="3">
        <v>1</v>
      </c>
      <c r="B19" s="3">
        <v>25</v>
      </c>
      <c r="C19" s="3">
        <v>0.73423933699999999</v>
      </c>
      <c r="D19" s="3">
        <v>0.10848480000000001</v>
      </c>
      <c r="E19" s="3">
        <v>0.12312001</v>
      </c>
      <c r="F19" s="3">
        <v>8</v>
      </c>
      <c r="G19" s="3">
        <v>9.1779917000000003E-2</v>
      </c>
      <c r="H19" s="3">
        <v>1.3560599E-2</v>
      </c>
      <c r="I19" s="3">
        <v>1.5389999999999999E-2</v>
      </c>
    </row>
    <row r="20" spans="1:9" x14ac:dyDescent="0.2">
      <c r="A20" s="3">
        <v>5</v>
      </c>
      <c r="B20" s="3">
        <v>125</v>
      </c>
      <c r="C20" s="3">
        <v>2.5187982820000001</v>
      </c>
      <c r="D20" s="3">
        <v>0.82255138000000005</v>
      </c>
      <c r="E20" s="3">
        <v>1.08704706</v>
      </c>
      <c r="F20" s="3">
        <v>10</v>
      </c>
      <c r="G20" s="3">
        <v>0.25187982799999997</v>
      </c>
      <c r="H20" s="3">
        <v>8.2255138000000005E-2</v>
      </c>
      <c r="I20" s="3">
        <v>0.10870471</v>
      </c>
    </row>
    <row r="21" spans="1:9" x14ac:dyDescent="0.2">
      <c r="A21" s="3">
        <v>10</v>
      </c>
      <c r="B21" s="3">
        <v>250</v>
      </c>
      <c r="C21" s="3">
        <v>10.786800360000001</v>
      </c>
      <c r="D21" s="3">
        <v>4.56811699</v>
      </c>
      <c r="E21" s="3">
        <v>4.3480793999999996</v>
      </c>
      <c r="F21" s="3">
        <v>13</v>
      </c>
      <c r="G21" s="3">
        <v>0.829753874</v>
      </c>
      <c r="H21" s="3">
        <v>0.35139361400000002</v>
      </c>
      <c r="I21" s="3">
        <v>0.33446765000000001</v>
      </c>
    </row>
    <row r="22" spans="1:9" x14ac:dyDescent="0.2">
      <c r="A22" s="3">
        <v>20</v>
      </c>
      <c r="B22" s="3">
        <v>500</v>
      </c>
      <c r="C22" s="3">
        <v>43.250324650000003</v>
      </c>
      <c r="D22" s="3">
        <v>24.8381626</v>
      </c>
      <c r="E22" s="3">
        <v>12.3843046</v>
      </c>
      <c r="F22" s="3">
        <v>13</v>
      </c>
      <c r="G22" s="3">
        <v>3.3269480499999999</v>
      </c>
      <c r="H22" s="3">
        <v>1.910627895</v>
      </c>
      <c r="I22" s="3">
        <v>0.95263880999999995</v>
      </c>
    </row>
    <row r="23" spans="1:9" x14ac:dyDescent="0.2">
      <c r="A23" s="3">
        <v>32</v>
      </c>
      <c r="B23" s="3">
        <v>800</v>
      </c>
      <c r="C23" s="3">
        <v>112.6832194</v>
      </c>
      <c r="D23" s="3">
        <v>66.123048299999994</v>
      </c>
      <c r="E23" s="3">
        <v>29.908527800000002</v>
      </c>
      <c r="F23" s="3">
        <v>15</v>
      </c>
      <c r="G23" s="3">
        <v>7.5122146250000004</v>
      </c>
      <c r="H23" s="3">
        <v>4.4082032179999997</v>
      </c>
      <c r="I23" s="3">
        <v>1.9939018500000001</v>
      </c>
    </row>
    <row r="24" spans="1:9" x14ac:dyDescent="0.2">
      <c r="A24" s="3">
        <v>47</v>
      </c>
      <c r="B24" s="3">
        <v>1175</v>
      </c>
      <c r="C24" s="3">
        <v>257.28400470000003</v>
      </c>
      <c r="D24" s="3">
        <v>161.39706899999999</v>
      </c>
      <c r="E24" s="3">
        <v>56.4128951</v>
      </c>
      <c r="F24" s="3">
        <v>15</v>
      </c>
      <c r="G24" s="3">
        <v>17.15226698</v>
      </c>
      <c r="H24" s="3">
        <v>10.75980461</v>
      </c>
      <c r="I24" s="3">
        <v>3.7608596699999999</v>
      </c>
    </row>
    <row r="25" spans="1:9" x14ac:dyDescent="0.2">
      <c r="A25" s="3">
        <v>76</v>
      </c>
      <c r="B25" s="3">
        <v>1900</v>
      </c>
      <c r="C25" s="3">
        <v>702.58297049999999</v>
      </c>
      <c r="D25" s="3">
        <v>420.984894</v>
      </c>
      <c r="E25" s="3">
        <v>146.49606499999999</v>
      </c>
      <c r="F25" s="3">
        <v>17</v>
      </c>
      <c r="G25" s="3">
        <v>41.328410030000001</v>
      </c>
      <c r="H25" s="3">
        <v>24.763817299999999</v>
      </c>
      <c r="I25" s="3">
        <v>8.6174155700000004</v>
      </c>
    </row>
    <row r="26" spans="1:9" x14ac:dyDescent="0.2">
      <c r="A26" s="3">
        <v>100</v>
      </c>
      <c r="B26" s="3">
        <v>2500</v>
      </c>
      <c r="C26" s="3">
        <v>1235.771301</v>
      </c>
      <c r="D26" s="3">
        <v>810.980592</v>
      </c>
      <c r="E26" s="3">
        <v>190.27605399999999</v>
      </c>
      <c r="F26" s="3">
        <v>15</v>
      </c>
      <c r="G26" s="3">
        <v>82.384753419999996</v>
      </c>
      <c r="H26" s="3">
        <v>54.06537282</v>
      </c>
      <c r="I26" s="3">
        <v>12.6850703</v>
      </c>
    </row>
    <row r="27" spans="1:9" x14ac:dyDescent="0.2">
      <c r="A27" s="3">
        <v>139</v>
      </c>
      <c r="B27" s="3">
        <v>3475</v>
      </c>
      <c r="C27" s="3">
        <v>2467.295329</v>
      </c>
      <c r="D27" s="3">
        <v>1553.6740500000001</v>
      </c>
      <c r="E27" s="3">
        <v>341.97502400000002</v>
      </c>
      <c r="F27" s="3">
        <v>16</v>
      </c>
      <c r="G27" s="3">
        <v>154.2059581</v>
      </c>
      <c r="H27" s="3">
        <v>97.104628309999995</v>
      </c>
      <c r="I27" s="3">
        <v>21.373439000000001</v>
      </c>
    </row>
    <row r="32" spans="1:9" x14ac:dyDescent="0.2">
      <c r="A32" s="1" t="s">
        <v>14</v>
      </c>
    </row>
    <row r="33" spans="1:8" x14ac:dyDescent="0.2">
      <c r="A33" s="1" t="s">
        <v>3</v>
      </c>
      <c r="B33" s="1" t="s">
        <v>4</v>
      </c>
      <c r="C33" s="1" t="s">
        <v>15</v>
      </c>
      <c r="D33" s="1" t="s">
        <v>16</v>
      </c>
      <c r="E33" s="1" t="s">
        <v>20</v>
      </c>
      <c r="F33" s="1" t="s">
        <v>19</v>
      </c>
      <c r="G33" s="4" t="s">
        <v>18</v>
      </c>
      <c r="H33" s="4" t="s">
        <v>17</v>
      </c>
    </row>
    <row r="34" spans="1:8" x14ac:dyDescent="0.2">
      <c r="A34">
        <v>5</v>
      </c>
      <c r="B34" s="3">
        <v>125</v>
      </c>
      <c r="D34">
        <v>0.25187982799999997</v>
      </c>
      <c r="F34">
        <v>8.2255138000000005E-2</v>
      </c>
      <c r="H34">
        <v>0.10870471</v>
      </c>
    </row>
    <row r="35" spans="1:8" x14ac:dyDescent="0.2">
      <c r="A35">
        <v>10</v>
      </c>
      <c r="B35" s="3">
        <v>250</v>
      </c>
      <c r="C35">
        <v>0.18141685805928232</v>
      </c>
      <c r="D35">
        <v>0.829753874</v>
      </c>
      <c r="E35">
        <v>6.5847378725615774E-2</v>
      </c>
      <c r="F35">
        <v>0.35139361400000002</v>
      </c>
      <c r="G35">
        <v>5.0823529967321764E-2</v>
      </c>
      <c r="H35">
        <v>0.33446765000000001</v>
      </c>
    </row>
    <row r="36" spans="1:8" x14ac:dyDescent="0.2">
      <c r="A36">
        <v>20</v>
      </c>
      <c r="B36" s="3">
        <v>500</v>
      </c>
      <c r="C36">
        <v>0.44378218215961851</v>
      </c>
      <c r="D36">
        <v>3.3269480499999999</v>
      </c>
      <c r="E36">
        <v>0.16275613645736384</v>
      </c>
      <c r="F36">
        <v>1.910627895</v>
      </c>
      <c r="G36">
        <v>0.15435506827914305</v>
      </c>
      <c r="H36">
        <v>0.95263880999999995</v>
      </c>
    </row>
    <row r="37" spans="1:8" x14ac:dyDescent="0.2">
      <c r="A37">
        <v>32</v>
      </c>
      <c r="B37" s="3">
        <v>800</v>
      </c>
      <c r="C37">
        <v>0.81393942367285332</v>
      </c>
      <c r="D37">
        <v>7.5122146250000004</v>
      </c>
      <c r="E37">
        <v>0.35015848947999328</v>
      </c>
      <c r="F37">
        <v>4.4082032179999997</v>
      </c>
      <c r="G37">
        <v>0.26185166047265135</v>
      </c>
      <c r="H37">
        <v>1.9939018500000001</v>
      </c>
    </row>
    <row r="38" spans="1:8" x14ac:dyDescent="0.2">
      <c r="A38">
        <v>47</v>
      </c>
      <c r="B38" s="3">
        <v>1175</v>
      </c>
      <c r="C38">
        <v>1.5366177902712133</v>
      </c>
      <c r="D38">
        <v>17.15226698</v>
      </c>
      <c r="E38">
        <v>0.78432879353252005</v>
      </c>
      <c r="F38">
        <v>10.75980461</v>
      </c>
      <c r="G38">
        <v>0.41373924631625403</v>
      </c>
      <c r="H38">
        <v>3.7608596699999999</v>
      </c>
    </row>
    <row r="39" spans="1:8" x14ac:dyDescent="0.2">
      <c r="A39">
        <v>76</v>
      </c>
      <c r="B39" s="3">
        <v>1900</v>
      </c>
      <c r="C39">
        <v>3.2924931978752059</v>
      </c>
      <c r="D39">
        <v>41.328410030000001</v>
      </c>
      <c r="E39">
        <v>1.8748870203545411</v>
      </c>
      <c r="F39">
        <v>24.763817299999999</v>
      </c>
      <c r="G39">
        <v>0.78023083781932934</v>
      </c>
      <c r="H39">
        <v>8.6174155700000004</v>
      </c>
    </row>
    <row r="40" spans="1:8" x14ac:dyDescent="0.2">
      <c r="A40">
        <v>100</v>
      </c>
      <c r="B40" s="3">
        <v>2500</v>
      </c>
      <c r="C40">
        <v>5.9054204898110267</v>
      </c>
      <c r="D40">
        <v>82.384753419999996</v>
      </c>
      <c r="E40">
        <v>3.823785722007353</v>
      </c>
      <c r="F40">
        <v>54.06537282</v>
      </c>
      <c r="G40">
        <v>1.0787578180121866</v>
      </c>
      <c r="H40">
        <v>12.6850703</v>
      </c>
    </row>
    <row r="41" spans="1:8" x14ac:dyDescent="0.2">
      <c r="A41">
        <v>139</v>
      </c>
      <c r="B41" s="3">
        <v>3475</v>
      </c>
      <c r="C41">
        <v>10.71981104025325</v>
      </c>
      <c r="D41">
        <v>154.2059581</v>
      </c>
      <c r="E41">
        <v>7.1400858270644374</v>
      </c>
      <c r="F41">
        <v>97.104628309999995</v>
      </c>
      <c r="G41">
        <v>1.639881884897475</v>
      </c>
      <c r="H41">
        <v>21.373439000000001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Sharma</dc:creator>
  <cp:lastModifiedBy>Manas Sharma</cp:lastModifiedBy>
  <dcterms:created xsi:type="dcterms:W3CDTF">2025-08-15T12:19:05Z</dcterms:created>
  <dcterms:modified xsi:type="dcterms:W3CDTF">2025-09-21T15:14:16Z</dcterms:modified>
</cp:coreProperties>
</file>