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71E07548-E7D0-2A4D-9E15-756DDFF3DB12}" xr6:coauthVersionLast="47" xr6:coauthVersionMax="47" xr10:uidLastSave="{00000000-0000-0000-0000-000000000000}"/>
  <bookViews>
    <workbookView xWindow="0" yWindow="760" windowWidth="29400" windowHeight="16840" xr2:uid="{580CF0B2-FD39-1547-AD8E-82680C382266}"/>
  </bookViews>
  <sheets>
    <sheet name="def2-SVP" sheetId="1" r:id="rId1"/>
    <sheet name="def2-TZV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E11" i="1"/>
  <c r="E7" i="1"/>
  <c r="E8" i="1"/>
  <c r="E9" i="1"/>
  <c r="E10" i="1"/>
  <c r="E12" i="1"/>
  <c r="E13" i="1"/>
  <c r="E14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<sst xmlns="http://schemas.openxmlformats.org/spreadsheetml/2006/main" count="30" uniqueCount="11">
  <si>
    <t>Scaling behavior</t>
  </si>
  <si>
    <t>3D water clusters</t>
  </si>
  <si>
    <t>No. of water molecules</t>
  </si>
  <si>
    <t>No. of basis functions</t>
  </si>
  <si>
    <t>Total Time Taken (s)</t>
  </si>
  <si>
    <t>Total Time Taken (s) / iter</t>
  </si>
  <si>
    <t>Iterations</t>
  </si>
  <si>
    <t>All calculations on 4 cores</t>
  </si>
  <si>
    <t>Grids gen (s)</t>
  </si>
  <si>
    <t>Tot time - Grids Gen (s)</t>
  </si>
  <si>
    <t>CPU PySCF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</si>
</sst>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PySCF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'def2-SVP'!$B$18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'def2-SVP'!$B$19:$B$26</c:f>
              <c:numCache>
                <c:formatCode>0.000</c:formatCode>
                <c:ptCount val="8"/>
                <c:pt idx="0">
                  <c:v>0.346481050900183</c:v>
                </c:pt>
                <c:pt idx="1">
                  <c:v>1.3363337981669832</c:v>
                </c:pt>
                <c:pt idx="2">
                  <c:v>5.0376276820005526</c:v>
                </c:pt>
                <c:pt idx="3">
                  <c:v>12.339547297800866</c:v>
                </c:pt>
                <c:pt idx="4">
                  <c:v>25.571995554334666</c:v>
                </c:pt>
                <c:pt idx="5">
                  <c:v>67.888637209599992</c:v>
                </c:pt>
                <c:pt idx="6">
                  <c:v>126.06183587677722</c:v>
                </c:pt>
                <c:pt idx="7">
                  <c:v>257.11469113353263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PySCF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'def2-SVP'!$H$18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'def2-SVP'!$G$19:$G$26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480</c:v>
                </c:pt>
                <c:pt idx="3">
                  <c:v>768</c:v>
                </c:pt>
                <c:pt idx="4">
                  <c:v>1128</c:v>
                </c:pt>
                <c:pt idx="5">
                  <c:v>1824</c:v>
                </c:pt>
                <c:pt idx="6">
                  <c:v>2400</c:v>
                </c:pt>
                <c:pt idx="7">
                  <c:v>3336</c:v>
                </c:pt>
              </c:numCache>
            </c:numRef>
          </c:xVal>
          <c:yVal>
            <c:numRef>
              <c:f>'def2-SVP'!$H$19:$H$26</c:f>
              <c:numCache>
                <c:formatCode>0.000</c:formatCode>
                <c:ptCount val="8"/>
                <c:pt idx="0">
                  <c:v>0.346481050900183</c:v>
                </c:pt>
                <c:pt idx="1">
                  <c:v>1.3363337981669832</c:v>
                </c:pt>
                <c:pt idx="2">
                  <c:v>5.0376276820005526</c:v>
                </c:pt>
                <c:pt idx="3">
                  <c:v>12.339547297800866</c:v>
                </c:pt>
                <c:pt idx="4">
                  <c:v>25.571995554334666</c:v>
                </c:pt>
                <c:pt idx="5">
                  <c:v>67.888637209599992</c:v>
                </c:pt>
                <c:pt idx="6">
                  <c:v>126.06183587677722</c:v>
                </c:pt>
                <c:pt idx="7">
                  <c:v>257.11469113353263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PySCF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'def2-TZVP'!$B$18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'def2-TZVP'!$B$19:$B$26</c:f>
              <c:numCache>
                <c:formatCode>0.000</c:formatCode>
                <c:ptCount val="8"/>
                <c:pt idx="0">
                  <c:v>0.70756105979962691</c:v>
                </c:pt>
                <c:pt idx="1">
                  <c:v>2.9451126259179166</c:v>
                </c:pt>
                <c:pt idx="2">
                  <c:v>11.613583485714358</c:v>
                </c:pt>
                <c:pt idx="3">
                  <c:v>27.469421685714856</c:v>
                </c:pt>
                <c:pt idx="4">
                  <c:v>58.774217379501856</c:v>
                </c:pt>
                <c:pt idx="5">
                  <c:v>166.52270629566601</c:v>
                </c:pt>
                <c:pt idx="6">
                  <c:v>300.11598233933267</c:v>
                </c:pt>
                <c:pt idx="7">
                  <c:v>593.83995553493878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2-8548-9C7F-ACE393F71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PySCF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'def2-TZVP'!$H$18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'def2-TZVP'!$G$19:$G$26</c:f>
              <c:numCache>
                <c:formatCode>General</c:formatCode>
                <c:ptCount val="8"/>
                <c:pt idx="0">
                  <c:v>215</c:v>
                </c:pt>
                <c:pt idx="1">
                  <c:v>430</c:v>
                </c:pt>
                <c:pt idx="2">
                  <c:v>860</c:v>
                </c:pt>
                <c:pt idx="3">
                  <c:v>1376</c:v>
                </c:pt>
                <c:pt idx="4">
                  <c:v>2021</c:v>
                </c:pt>
                <c:pt idx="5">
                  <c:v>3268</c:v>
                </c:pt>
                <c:pt idx="6">
                  <c:v>4300</c:v>
                </c:pt>
                <c:pt idx="7">
                  <c:v>5977</c:v>
                </c:pt>
              </c:numCache>
            </c:numRef>
          </c:xVal>
          <c:yVal>
            <c:numRef>
              <c:f>'def2-TZVP'!$H$19:$H$26</c:f>
              <c:numCache>
                <c:formatCode>0.000</c:formatCode>
                <c:ptCount val="8"/>
                <c:pt idx="0">
                  <c:v>0.70756105979962691</c:v>
                </c:pt>
                <c:pt idx="1">
                  <c:v>2.9451126259179166</c:v>
                </c:pt>
                <c:pt idx="2">
                  <c:v>11.613583485714358</c:v>
                </c:pt>
                <c:pt idx="3">
                  <c:v>27.469421685714856</c:v>
                </c:pt>
                <c:pt idx="4">
                  <c:v>58.774217379501856</c:v>
                </c:pt>
                <c:pt idx="5">
                  <c:v>166.52270629566601</c:v>
                </c:pt>
                <c:pt idx="6">
                  <c:v>300.11598233933267</c:v>
                </c:pt>
                <c:pt idx="7">
                  <c:v>593.83995553493878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B-A34F-B03B-B554DEA2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26</xdr:row>
      <xdr:rowOff>82550</xdr:rowOff>
    </xdr:from>
    <xdr:to>
      <xdr:col>4</xdr:col>
      <xdr:colOff>228600</xdr:colOff>
      <xdr:row>43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26</xdr:row>
      <xdr:rowOff>190500</xdr:rowOff>
    </xdr:from>
    <xdr:to>
      <xdr:col>9</xdr:col>
      <xdr:colOff>812800</xdr:colOff>
      <xdr:row>44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26</xdr:row>
      <xdr:rowOff>82550</xdr:rowOff>
    </xdr:from>
    <xdr:to>
      <xdr:col>4</xdr:col>
      <xdr:colOff>228600</xdr:colOff>
      <xdr:row>43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1A032-68FD-DE4E-8154-AC5775AF2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26</xdr:row>
      <xdr:rowOff>190500</xdr:rowOff>
    </xdr:from>
    <xdr:to>
      <xdr:col>9</xdr:col>
      <xdr:colOff>812800</xdr:colOff>
      <xdr:row>44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1FA807-C249-8742-A772-42C4A13B5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6"/>
  <sheetViews>
    <sheetView tabSelected="1" workbookViewId="0">
      <selection activeCell="G6" sqref="G6:G14"/>
    </sheetView>
  </sheetViews>
  <sheetFormatPr baseColWidth="10" defaultRowHeight="16" x14ac:dyDescent="0.2"/>
  <cols>
    <col min="1" max="1" width="20" customWidth="1"/>
    <col min="2" max="2" width="22.1640625" customWidth="1"/>
    <col min="3" max="3" width="17.83203125" customWidth="1"/>
    <col min="5" max="5" width="23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7</v>
      </c>
    </row>
    <row r="3" spans="1:9" x14ac:dyDescent="0.2">
      <c r="A3" s="2" t="s">
        <v>10</v>
      </c>
    </row>
    <row r="4" spans="1:9" x14ac:dyDescent="0.2">
      <c r="A4" s="2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8</v>
      </c>
      <c r="E6" s="2" t="s">
        <v>9</v>
      </c>
      <c r="F6" s="2" t="s">
        <v>6</v>
      </c>
      <c r="G6" s="2" t="s">
        <v>5</v>
      </c>
      <c r="H6" s="2"/>
      <c r="I6" s="2"/>
    </row>
    <row r="7" spans="1:9" x14ac:dyDescent="0.2">
      <c r="A7">
        <v>5</v>
      </c>
      <c r="B7">
        <v>120</v>
      </c>
      <c r="C7" s="1">
        <v>3.46481050900183</v>
      </c>
      <c r="D7" s="3">
        <v>0.25</v>
      </c>
      <c r="E7" s="1">
        <f t="shared" ref="E7:E14" si="0">C7-D7</f>
        <v>3.21481050900183</v>
      </c>
      <c r="F7" s="1">
        <v>10</v>
      </c>
      <c r="G7">
        <f t="shared" ref="G7:G14" si="1">C7/F7</f>
        <v>0.346481050900183</v>
      </c>
    </row>
    <row r="8" spans="1:9" x14ac:dyDescent="0.2">
      <c r="A8">
        <v>10</v>
      </c>
      <c r="B8">
        <v>240</v>
      </c>
      <c r="C8" s="1">
        <v>16.036005578003799</v>
      </c>
      <c r="D8" s="3">
        <v>0.83</v>
      </c>
      <c r="E8" s="1">
        <f t="shared" si="0"/>
        <v>15.206005578003799</v>
      </c>
      <c r="F8" s="1">
        <v>12</v>
      </c>
      <c r="G8">
        <f t="shared" si="1"/>
        <v>1.3363337981669832</v>
      </c>
    </row>
    <row r="9" spans="1:9" x14ac:dyDescent="0.2">
      <c r="A9">
        <v>20</v>
      </c>
      <c r="B9">
        <v>480</v>
      </c>
      <c r="C9" s="1">
        <v>75.564415230008294</v>
      </c>
      <c r="D9" s="3">
        <v>3.34</v>
      </c>
      <c r="E9" s="1">
        <f t="shared" si="0"/>
        <v>72.22441523000829</v>
      </c>
      <c r="F9" s="1">
        <v>15</v>
      </c>
      <c r="G9">
        <f t="shared" si="1"/>
        <v>5.0376276820005526</v>
      </c>
    </row>
    <row r="10" spans="1:9" x14ac:dyDescent="0.2">
      <c r="A10">
        <v>32</v>
      </c>
      <c r="B10">
        <v>768</v>
      </c>
      <c r="C10" s="1">
        <v>185.093209467013</v>
      </c>
      <c r="D10" s="3">
        <v>9.19</v>
      </c>
      <c r="E10" s="1">
        <f t="shared" si="0"/>
        <v>175.903209467013</v>
      </c>
      <c r="F10" s="1">
        <v>15</v>
      </c>
      <c r="G10">
        <f t="shared" si="1"/>
        <v>12.339547297800866</v>
      </c>
    </row>
    <row r="11" spans="1:9" x14ac:dyDescent="0.2">
      <c r="A11">
        <v>47</v>
      </c>
      <c r="B11">
        <v>1128</v>
      </c>
      <c r="C11" s="1">
        <v>383.57993331502001</v>
      </c>
      <c r="D11" s="3">
        <v>22.52</v>
      </c>
      <c r="E11" s="1">
        <f>C11-D11</f>
        <v>361.05993331502003</v>
      </c>
      <c r="F11" s="1">
        <v>15</v>
      </c>
      <c r="G11">
        <f t="shared" si="1"/>
        <v>25.571995554334666</v>
      </c>
    </row>
    <row r="12" spans="1:9" x14ac:dyDescent="0.2">
      <c r="A12">
        <v>76</v>
      </c>
      <c r="B12">
        <v>1824</v>
      </c>
      <c r="C12" s="1">
        <v>1018.329558144</v>
      </c>
      <c r="D12" s="3">
        <v>79.13</v>
      </c>
      <c r="E12" s="1">
        <f t="shared" si="0"/>
        <v>939.19955814399998</v>
      </c>
      <c r="F12" s="1">
        <v>15</v>
      </c>
      <c r="G12">
        <f t="shared" si="1"/>
        <v>67.888637209599992</v>
      </c>
    </row>
    <row r="13" spans="1:9" x14ac:dyDescent="0.2">
      <c r="A13">
        <v>100</v>
      </c>
      <c r="B13">
        <v>2400</v>
      </c>
      <c r="C13" s="1">
        <v>2269.11304578199</v>
      </c>
      <c r="D13" s="3">
        <v>167.72</v>
      </c>
      <c r="E13" s="1">
        <f t="shared" si="0"/>
        <v>2101.3930457819902</v>
      </c>
      <c r="F13" s="1">
        <v>18</v>
      </c>
      <c r="G13">
        <f t="shared" si="1"/>
        <v>126.06183587677722</v>
      </c>
    </row>
    <row r="14" spans="1:9" x14ac:dyDescent="0.2">
      <c r="A14">
        <v>139</v>
      </c>
      <c r="B14">
        <v>3336</v>
      </c>
      <c r="C14" s="1">
        <v>3856.7203670029899</v>
      </c>
      <c r="D14" s="3">
        <v>424.55</v>
      </c>
      <c r="E14" s="1">
        <f t="shared" si="0"/>
        <v>3432.1703670029897</v>
      </c>
      <c r="F14" s="1">
        <v>15</v>
      </c>
      <c r="G14">
        <f t="shared" si="1"/>
        <v>257.11469113353263</v>
      </c>
    </row>
    <row r="18" spans="1:10" x14ac:dyDescent="0.2">
      <c r="A18" s="2" t="s">
        <v>2</v>
      </c>
      <c r="B18" s="2" t="s">
        <v>5</v>
      </c>
      <c r="C18" s="2"/>
      <c r="D18" s="2"/>
      <c r="G18" s="2" t="s">
        <v>3</v>
      </c>
      <c r="H18" s="2" t="s">
        <v>5</v>
      </c>
      <c r="I18" s="2"/>
      <c r="J18" s="2"/>
    </row>
    <row r="19" spans="1:10" x14ac:dyDescent="0.2">
      <c r="A19">
        <v>5</v>
      </c>
      <c r="B19" s="4">
        <v>0.346481050900183</v>
      </c>
      <c r="G19">
        <v>120</v>
      </c>
      <c r="H19" s="4">
        <v>0.346481050900183</v>
      </c>
    </row>
    <row r="20" spans="1:10" x14ac:dyDescent="0.2">
      <c r="A20">
        <v>10</v>
      </c>
      <c r="B20" s="4">
        <v>1.3363337981669832</v>
      </c>
      <c r="G20">
        <v>240</v>
      </c>
      <c r="H20" s="4">
        <v>1.3363337981669832</v>
      </c>
    </row>
    <row r="21" spans="1:10" x14ac:dyDescent="0.2">
      <c r="A21">
        <v>20</v>
      </c>
      <c r="B21" s="4">
        <v>5.0376276820005526</v>
      </c>
      <c r="G21">
        <v>480</v>
      </c>
      <c r="H21" s="4">
        <v>5.0376276820005526</v>
      </c>
    </row>
    <row r="22" spans="1:10" x14ac:dyDescent="0.2">
      <c r="A22">
        <v>32</v>
      </c>
      <c r="B22" s="4">
        <v>12.339547297800866</v>
      </c>
      <c r="G22">
        <v>768</v>
      </c>
      <c r="H22" s="4">
        <v>12.339547297800866</v>
      </c>
    </row>
    <row r="23" spans="1:10" x14ac:dyDescent="0.2">
      <c r="A23">
        <v>47</v>
      </c>
      <c r="B23" s="4">
        <v>25.571995554334666</v>
      </c>
      <c r="G23">
        <v>1128</v>
      </c>
      <c r="H23" s="4">
        <v>25.571995554334666</v>
      </c>
    </row>
    <row r="24" spans="1:10" x14ac:dyDescent="0.2">
      <c r="A24">
        <v>76</v>
      </c>
      <c r="B24" s="4">
        <v>67.888637209599992</v>
      </c>
      <c r="G24">
        <v>1824</v>
      </c>
      <c r="H24" s="4">
        <v>67.888637209599992</v>
      </c>
    </row>
    <row r="25" spans="1:10" x14ac:dyDescent="0.2">
      <c r="A25">
        <v>100</v>
      </c>
      <c r="B25" s="4">
        <v>126.06183587677722</v>
      </c>
      <c r="G25">
        <v>2400</v>
      </c>
      <c r="H25" s="4">
        <v>126.06183587677722</v>
      </c>
    </row>
    <row r="26" spans="1:10" x14ac:dyDescent="0.2">
      <c r="A26">
        <v>139</v>
      </c>
      <c r="B26" s="4">
        <v>257.11469113353263</v>
      </c>
      <c r="G26">
        <v>3336</v>
      </c>
      <c r="H26" s="4">
        <v>257.11469113353263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A6A4-0832-B24C-8394-DC1CA58CAEAB}">
  <dimension ref="A1:J26"/>
  <sheetViews>
    <sheetView topLeftCell="A3" workbookViewId="0">
      <selection activeCell="G19" sqref="G19:G26"/>
    </sheetView>
  </sheetViews>
  <sheetFormatPr baseColWidth="10" defaultRowHeight="16" x14ac:dyDescent="0.2"/>
  <cols>
    <col min="1" max="1" width="20" customWidth="1"/>
    <col min="2" max="2" width="22.1640625" customWidth="1"/>
    <col min="3" max="3" width="17.83203125" customWidth="1"/>
    <col min="5" max="5" width="23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7</v>
      </c>
    </row>
    <row r="3" spans="1:9" x14ac:dyDescent="0.2">
      <c r="A3" s="2" t="s">
        <v>10</v>
      </c>
    </row>
    <row r="4" spans="1:9" x14ac:dyDescent="0.2">
      <c r="A4" s="2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8</v>
      </c>
      <c r="E6" s="2" t="s">
        <v>9</v>
      </c>
      <c r="F6" s="2" t="s">
        <v>6</v>
      </c>
      <c r="G6" s="2" t="s">
        <v>5</v>
      </c>
      <c r="H6" s="2"/>
      <c r="I6" s="2"/>
    </row>
    <row r="7" spans="1:9" x14ac:dyDescent="0.2">
      <c r="A7">
        <v>5</v>
      </c>
      <c r="B7">
        <v>215</v>
      </c>
      <c r="C7" s="1">
        <v>7.0756105979962696</v>
      </c>
      <c r="D7" s="3">
        <v>0.28999999999999998</v>
      </c>
      <c r="E7" s="1">
        <f t="shared" ref="E7:E14" si="0">C7-D7</f>
        <v>6.7856105979962695</v>
      </c>
      <c r="F7" s="1">
        <v>10</v>
      </c>
      <c r="G7">
        <f t="shared" ref="G7:G14" si="1">C7/F7</f>
        <v>0.70756105979962691</v>
      </c>
    </row>
    <row r="8" spans="1:9" x14ac:dyDescent="0.2">
      <c r="A8">
        <v>10</v>
      </c>
      <c r="B8">
        <v>430</v>
      </c>
      <c r="C8" s="1">
        <v>35.341351511014999</v>
      </c>
      <c r="D8" s="3">
        <v>1.57</v>
      </c>
      <c r="E8" s="1">
        <f t="shared" si="0"/>
        <v>33.771351511014998</v>
      </c>
      <c r="F8" s="1">
        <v>12</v>
      </c>
      <c r="G8">
        <f t="shared" si="1"/>
        <v>2.9451126259179166</v>
      </c>
    </row>
    <row r="9" spans="1:9" x14ac:dyDescent="0.2">
      <c r="A9">
        <v>20</v>
      </c>
      <c r="B9">
        <v>860</v>
      </c>
      <c r="C9" s="1">
        <v>162.59016880000101</v>
      </c>
      <c r="D9" s="3">
        <v>5.91</v>
      </c>
      <c r="E9" s="1">
        <f t="shared" si="0"/>
        <v>156.68016880000101</v>
      </c>
      <c r="F9" s="1">
        <v>14</v>
      </c>
      <c r="G9">
        <f t="shared" si="1"/>
        <v>11.613583485714358</v>
      </c>
    </row>
    <row r="10" spans="1:9" x14ac:dyDescent="0.2">
      <c r="A10">
        <v>32</v>
      </c>
      <c r="B10">
        <v>1376</v>
      </c>
      <c r="C10" s="1">
        <v>384.571903600008</v>
      </c>
      <c r="D10" s="3">
        <v>14.05</v>
      </c>
      <c r="E10" s="1">
        <f t="shared" si="0"/>
        <v>370.52190360000799</v>
      </c>
      <c r="F10" s="1">
        <v>14</v>
      </c>
      <c r="G10">
        <f t="shared" si="1"/>
        <v>27.469421685714856</v>
      </c>
    </row>
    <row r="11" spans="1:9" x14ac:dyDescent="0.2">
      <c r="A11">
        <v>47</v>
      </c>
      <c r="B11">
        <v>2021</v>
      </c>
      <c r="C11" s="1">
        <v>822.83904331302597</v>
      </c>
      <c r="D11" s="3">
        <v>32.29</v>
      </c>
      <c r="E11" s="1">
        <f>C11-D11</f>
        <v>790.549043313026</v>
      </c>
      <c r="F11" s="1">
        <v>14</v>
      </c>
      <c r="G11">
        <f t="shared" si="1"/>
        <v>58.774217379501856</v>
      </c>
    </row>
    <row r="12" spans="1:9" x14ac:dyDescent="0.2">
      <c r="A12">
        <v>76</v>
      </c>
      <c r="B12">
        <v>3268</v>
      </c>
      <c r="C12" s="1">
        <v>2497.8405944349902</v>
      </c>
      <c r="D12" s="3">
        <v>108.03</v>
      </c>
      <c r="E12" s="1">
        <f t="shared" si="0"/>
        <v>2389.81059443499</v>
      </c>
      <c r="F12" s="1">
        <v>15</v>
      </c>
      <c r="G12">
        <f t="shared" si="1"/>
        <v>166.52270629566601</v>
      </c>
    </row>
    <row r="13" spans="1:9" x14ac:dyDescent="0.2">
      <c r="A13">
        <v>100</v>
      </c>
      <c r="B13">
        <v>4300</v>
      </c>
      <c r="C13" s="1">
        <v>4501.7397350899901</v>
      </c>
      <c r="D13" s="3">
        <v>205.14</v>
      </c>
      <c r="E13" s="1">
        <f t="shared" si="0"/>
        <v>4296.5997350899897</v>
      </c>
      <c r="F13" s="1">
        <v>15</v>
      </c>
      <c r="G13">
        <f t="shared" si="1"/>
        <v>300.11598233933267</v>
      </c>
    </row>
    <row r="14" spans="1:9" x14ac:dyDescent="0.2">
      <c r="A14">
        <v>139</v>
      </c>
      <c r="B14">
        <v>5977</v>
      </c>
      <c r="C14" s="1">
        <v>9501.4392885590205</v>
      </c>
      <c r="D14" s="3">
        <v>501.8</v>
      </c>
      <c r="E14" s="1">
        <f t="shared" si="0"/>
        <v>8999.6392885590212</v>
      </c>
      <c r="F14" s="1">
        <v>16</v>
      </c>
      <c r="G14">
        <f t="shared" si="1"/>
        <v>593.83995553493878</v>
      </c>
    </row>
    <row r="18" spans="1:10" x14ac:dyDescent="0.2">
      <c r="A18" s="2" t="s">
        <v>2</v>
      </c>
      <c r="B18" s="2" t="s">
        <v>5</v>
      </c>
      <c r="C18" s="2"/>
      <c r="D18" s="2"/>
      <c r="G18" s="2" t="s">
        <v>3</v>
      </c>
      <c r="H18" s="2" t="s">
        <v>5</v>
      </c>
      <c r="I18" s="2"/>
      <c r="J18" s="2"/>
    </row>
    <row r="19" spans="1:10" x14ac:dyDescent="0.2">
      <c r="A19">
        <v>5</v>
      </c>
      <c r="B19" s="4">
        <v>0.70756105979962691</v>
      </c>
      <c r="G19">
        <v>215</v>
      </c>
      <c r="H19" s="4">
        <v>0.70756105979962691</v>
      </c>
    </row>
    <row r="20" spans="1:10" x14ac:dyDescent="0.2">
      <c r="A20">
        <v>10</v>
      </c>
      <c r="B20" s="4">
        <v>2.9451126259179166</v>
      </c>
      <c r="G20">
        <v>430</v>
      </c>
      <c r="H20" s="4">
        <v>2.9451126259179166</v>
      </c>
    </row>
    <row r="21" spans="1:10" x14ac:dyDescent="0.2">
      <c r="A21">
        <v>20</v>
      </c>
      <c r="B21" s="4">
        <v>11.613583485714358</v>
      </c>
      <c r="G21">
        <v>860</v>
      </c>
      <c r="H21" s="4">
        <v>11.613583485714358</v>
      </c>
    </row>
    <row r="22" spans="1:10" x14ac:dyDescent="0.2">
      <c r="A22">
        <v>32</v>
      </c>
      <c r="B22" s="4">
        <v>27.469421685714856</v>
      </c>
      <c r="G22">
        <v>1376</v>
      </c>
      <c r="H22" s="4">
        <v>27.469421685714856</v>
      </c>
    </row>
    <row r="23" spans="1:10" x14ac:dyDescent="0.2">
      <c r="A23">
        <v>47</v>
      </c>
      <c r="B23" s="4">
        <v>58.774217379501856</v>
      </c>
      <c r="G23">
        <v>2021</v>
      </c>
      <c r="H23" s="4">
        <v>58.774217379501856</v>
      </c>
    </row>
    <row r="24" spans="1:10" x14ac:dyDescent="0.2">
      <c r="A24">
        <v>76</v>
      </c>
      <c r="B24" s="4">
        <v>166.52270629566601</v>
      </c>
      <c r="G24">
        <v>3268</v>
      </c>
      <c r="H24" s="4">
        <v>166.52270629566601</v>
      </c>
    </row>
    <row r="25" spans="1:10" x14ac:dyDescent="0.2">
      <c r="A25">
        <v>100</v>
      </c>
      <c r="B25" s="4">
        <v>300.11598233933267</v>
      </c>
      <c r="G25">
        <v>4300</v>
      </c>
      <c r="H25" s="4">
        <v>300.11598233933267</v>
      </c>
    </row>
    <row r="26" spans="1:10" x14ac:dyDescent="0.2">
      <c r="A26">
        <v>139</v>
      </c>
      <c r="B26" s="4">
        <v>593.83995553493878</v>
      </c>
      <c r="G26">
        <v>5977</v>
      </c>
      <c r="H26" s="4">
        <v>593.83995553493878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def2-SVP</vt:lpstr>
      <vt:lpstr>def2-TZVP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2026-04-18T20:20:56Z</dcterms:modified>
</cp:coreProperties>
</file>