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9c2d56a6f94d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f2-SVP" sheetId="1" r:id="R8d89ebde8169428c"/>
    <x:sheet xmlns:r="http://schemas.openxmlformats.org/officeDocument/2006/relationships" name="def2-TZVP" sheetId="2" r:id="R3e70c658806c4e35"/>
    <x:sheet xmlns:r="http://schemas.openxmlformats.org/officeDocument/2006/relationships" name="def2-SVP GPU" sheetId="3" r:id="R913c5540b2e84150"/>
  </x:sheets>
</x:workbook>
</file>

<file path=xl/sharedStrings.xml><?xml version="1.0" encoding="utf-8"?>
<x:sst xmlns:x="http://schemas.openxmlformats.org/spreadsheetml/2006/main">
  <x:si>
    <x:t xml:space="preserve">Scaling behavior</x:t>
  </x:si>
  <x:si>
    <x:t xml:space="preserve">All calculations on 4 cores</x:t>
  </x:si>
  <x:si>
    <x:t xml:space="preserve">CPU PySCF</x:t>
  </x:si>
  <x:si>
    <x:t xml:space="preserve">3D water clusters</x:t>
  </x:si>
  <x:si>
    <x:t xml:space="preserve">No. of water molecules</x:t>
  </x:si>
  <x:si>
    <x:t xml:space="preserve">No. of basis functions</x:t>
  </x:si>
  <x:si>
    <x:t xml:space="preserve">Total Time Taken (s)</x:t>
  </x:si>
  <x:si>
    <x:t xml:space="preserve">Grids gen (s)</x:t>
  </x:si>
  <x:si>
    <x:t xml:space="preserve">Tot time - Grids Gen (s)</x:t>
  </x:si>
  <x:si>
    <x:t xml:space="preserve">Iterations</x:t>
  </x:si>
  <x:si>
    <x:t xml:space="preserve">Total Time Taken (s) / iter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</x:si>
</x:sst>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200" formatCode="#,##0"/>
    <x:numFmt numFmtId="201" formatCode="0.0E+00"/>
  </x:numFmts>
  <x:fonts count="4">
    <x:font>
      <x:sz val="12"/>
      <x:color theme="1"/>
      <x:name val="Aptos Narrow"/>
    </x:font>
    <x:font>
      <x:sz val="12"/>
      <x:color rgb="FF000000"/>
      <x:name val="Aptos Narrow"/>
    </x:font>
    <x:font>
      <x:b/>
      <x:sz val="12"/>
      <x:color theme="1"/>
      <x:name val="Aptos Narrow"/>
    </x:font>
    <x:font>
      <x:b/>
      <x:sz val="12"/>
      <x:color rgb="FF9B1C1C"/>
      <x:name val="Aptos Narrow"/>
    </x:font>
  </x:fonts>
  <x:fills count="17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FFF4D6"/>
      </x:patternFill>
    </x:fill>
    <x:fill>
      <x:patternFill patternType="solid">
        <x:fgColor rgb="FFFDE8E7"/>
      </x:patternFill>
    </x:fill>
    <x:fill>
      <x:patternFill patternType="solid">
        <x:fgColor rgb="FFD9EAF7"/>
      </x:patternFill>
    </x:fill>
    <x:fill>
      <x:patternFill patternType="solid">
        <x:fgColor rgb="FFFFF4D6"/>
      </x:patternFill>
    </x:fill>
    <x:fill>
      <x:patternFill patternType="solid">
        <x:fgColor rgb="FFFDE8E7"/>
      </x:patternFill>
    </x:fill>
    <x:fill>
      <x:patternFill patternType="solid">
        <x:fgColor rgb="FFD9EAF7"/>
      </x:patternFill>
    </x:fill>
    <x:fill>
      <x:patternFill patternType="solid">
        <x:fgColor rgb="FFFFF4D6"/>
      </x:patternFill>
    </x:fill>
    <x:fill>
      <x:patternFill patternType="solid">
        <x:fgColor rgb="FFFDE8E7"/>
      </x:patternFill>
    </x:fill>
    <x:fill>
      <x:patternFill patternType="solid">
        <x:fgColor rgb="FFD9EAF7"/>
      </x:patternFill>
    </x:fill>
    <x:fill>
      <x:patternFill patternType="solid">
        <x:fgColor rgb="FFFFF4D6"/>
      </x:patternFill>
    </x:fill>
    <x:fill>
      <x:patternFill patternType="solid">
        <x:fgColor rgb="FFFDE8E7"/>
      </x:patternFill>
    </x:fill>
    <x:fill>
      <x:patternFill patternType="solid">
        <x:fgColor rgb="FFD9EAF7"/>
      </x:patternFill>
    </x:fill>
    <x:fill>
      <x:patternFill patternType="solid">
        <x:fgColor rgb="FFFFF4D6"/>
      </x:patternFill>
    </x:fill>
    <x:fill>
      <x:patternFill patternType="solid">
        <x:fgColor rgb="FFFDE8E7"/>
      </x:patternFill>
    </x:fill>
  </x:fills>
  <x:borders count="6">
    <x:border/>
    <x:border>
      <x:left style="thin">
        <x:color rgb="FFB8C4CE"/>
      </x:left>
      <x:right style="thin">
        <x:color rgb="FFB8C4CE"/>
      </x:right>
      <x:top style="thin">
        <x:color rgb="FFB8C4CE"/>
      </x:top>
      <x:bottom style="thin">
        <x:color rgb="FFB8C4CE"/>
      </x:bottom>
    </x:border>
    <x:border>
      <x:bottom style="thin">
        <x:color rgb="FFD9E1E8"/>
      </x:bottom>
    </x:border>
    <x:border>
      <x:top style="thin">
        <x:color rgb="FFD9E1E8"/>
      </x:top>
      <x:bottom style="thin">
        <x:color rgb="FFD9E1E8"/>
      </x:bottom>
    </x:border>
    <x:border>
      <x:top style="thin">
        <x:color rgb="FFD9E1E8"/>
      </x:top>
      <x:bottom style="thin">
        <x:color rgb="FFB8C4CE"/>
      </x:bottom>
    </x:border>
    <x:border>
      <x:top style="thin">
        <x:color rgb="FFD9E1E8"/>
      </x:top>
    </x:border>
  </x:borders>
  <x:cellStyleXfs count="1">
    <x:xf numFmtId="0" fontId="0" fillId="0" borderId="0"/>
  </x:cellStyleXfs>
  <x:cellXfs count="116">
    <x:xf numFmtId="0" fontId="0" fillId="0" borderId="0" xfId="0"/>
    <x:xf numFmtId="0" fontId="1" fillId="0" borderId="0" xfId="0" applyFont="1"/>
    <x:xf numFmtId="0" fontId="2" fillId="0" borderId="0" xfId="0" applyFont="1"/>
    <x:xf numFmtId="0" fontId="1" fillId="0" borderId="0" xfId="0" applyFont="1" applyAlignment="1">
      <x:alignment horizontal="right"/>
    </x:xf>
    <x:xf numFmtId="164" fontId="0" fillId="0" borderId="0" xfId="0" applyNumberFormat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horizontal="right" vertical="center"/>
    </x:xf>
    <x:xf numFmtId="0" fontId="1" fillId="0" borderId="4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horizontal="right" vertical="center"/>
    </x:xf>
    <x:xf numFmtId="200" fontId="1" fillId="0" borderId="3" xfId="0" applyNumberFormat="1" applyFont="1" applyFill="1" applyBorder="1" applyAlignment="1">
      <x:alignment horizontal="right" vertical="center"/>
    </x:xf>
    <x:xf numFmtId="200" fontId="1" fillId="0" borderId="4" xfId="0" applyNumberFormat="1" applyFont="1" applyFill="1" applyBorder="1" applyAlignment="1">
      <x:alignment horizontal="right" vertical="center"/>
    </x:xf>
    <x:xf numFmtId="164" fontId="1" fillId="0" borderId="2" xfId="0" applyNumberFormat="1" applyFont="1" applyFill="1" applyBorder="1" applyAlignment="1">
      <x:alignment horizontal="right" vertical="center"/>
    </x:xf>
    <x:xf numFmtId="164" fontId="1" fillId="0" borderId="3" xfId="0" applyNumberFormat="1" applyFont="1" applyFill="1" applyBorder="1" applyAlignment="1">
      <x:alignment horizontal="right" vertical="center"/>
    </x:xf>
    <x:xf numFmtId="164" fontId="1" fillId="0" borderId="4" xfId="0" applyNumberFormat="1" applyFont="1" applyFill="1" applyBorder="1" applyAlignment="1">
      <x:alignment horizontal="right" vertical="center"/>
    </x:xf>
    <x:xf numFmtId="200" fontId="1" fillId="3" borderId="2" xfId="0" applyNumberFormat="1" applyFont="1" applyFill="1" applyBorder="1" applyAlignment="1">
      <x:alignment horizontal="right" vertical="center"/>
    </x:xf>
    <x:xf numFmtId="164" fontId="1" fillId="3" borderId="2" xfId="0" applyNumberFormat="1" applyFont="1" applyFill="1" applyBorder="1" applyAlignment="1">
      <x:alignment horizontal="right" vertical="center"/>
    </x:xf>
    <x:xf numFmtId="0" fontId="1" fillId="3" borderId="2" xfId="0" applyNumberFormat="1" applyFont="1" applyFill="1" applyBorder="1" applyAlignment="1">
      <x:alignment horizontal="right" vertical="center"/>
    </x:xf>
    <x:xf numFmtId="0" fontId="1" fillId="3" borderId="2" xfId="0" applyNumberFormat="1" applyFont="1" applyFill="1" applyBorder="1" applyAlignment="1">
      <x:alignment vertical="center" wrapText="1"/>
    </x:xf>
    <x:xf numFmtId="200" fontId="1" fillId="4" borderId="4" xfId="0" applyNumberFormat="1" applyFont="1" applyFill="1" applyBorder="1" applyAlignment="1">
      <x:alignment horizontal="right" vertical="center"/>
    </x:xf>
    <x:xf numFmtId="164" fontId="1" fillId="4" borderId="4" xfId="0" applyNumberFormat="1" applyFont="1" applyFill="1" applyBorder="1" applyAlignment="1">
      <x:alignment horizontal="right" vertical="center"/>
    </x:xf>
    <x:xf numFmtId="0" fontId="1" fillId="4" borderId="4" xfId="0" applyNumberFormat="1" applyFont="1" applyFill="1" applyBorder="1" applyAlignment="1">
      <x:alignment horizontal="right" vertical="center"/>
    </x:xf>
    <x:xf numFmtId="0" fontId="1" fillId="4" borderId="4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horizontal="right" vertical="center"/>
    </x:xf>
    <x:xf numFmtId="0" fontId="3" fillId="4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2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1" fontId="0" fillId="0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horizont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200" fontId="1" fillId="6" borderId="2" xfId="0" applyNumberFormat="1" applyFont="1" applyFill="1" applyBorder="1" applyAlignment="1">
      <x:alignment horizontal="right" vertical="center"/>
    </x:xf>
    <x:xf numFmtId="164" fontId="1" fillId="6" borderId="2" xfId="0" applyNumberFormat="1" applyFont="1" applyFill="1" applyBorder="1" applyAlignment="1">
      <x:alignment horizontal="right" vertical="center"/>
    </x:xf>
    <x:xf numFmtId="0" fontId="1" fillId="6" borderId="2" xfId="0" applyNumberFormat="1" applyFont="1" applyFill="1" applyBorder="1" applyAlignment="1">
      <x:alignment horizontal="right" vertical="center"/>
    </x:xf>
    <x:xf numFmtId="0" fontId="1" fillId="6" borderId="2" xfId="0" applyNumberFormat="1" applyFont="1" applyFill="1" applyBorder="1" applyAlignment="1">
      <x:alignment vertical="center" wrapText="1"/>
    </x:xf>
    <x:xf numFmtId="200" fontId="1" fillId="7" borderId="4" xfId="0" applyNumberFormat="1" applyFont="1" applyFill="1" applyBorder="1" applyAlignment="1">
      <x:alignment horizontal="right" vertical="center"/>
    </x:xf>
    <x:xf numFmtId="164" fontId="1" fillId="7" borderId="4" xfId="0" applyNumberFormat="1" applyFont="1" applyFill="1" applyBorder="1" applyAlignment="1">
      <x:alignment horizontal="right" vertical="center"/>
    </x:xf>
    <x:xf numFmtId="0" fontId="1" fillId="7" borderId="4" xfId="0" applyNumberFormat="1" applyFont="1" applyFill="1" applyBorder="1" applyAlignment="1">
      <x:alignment horizontal="right" vertical="center"/>
    </x:xf>
    <x:xf numFmtId="0" fontId="1" fillId="7" borderId="4" xfId="0" applyNumberFormat="1" applyFont="1" applyFill="1" applyBorder="1" applyAlignment="1">
      <x:alignment vertical="center" wrapText="1"/>
    </x:xf>
    <x:xf numFmtId="0" fontId="3" fillId="7" borderId="4" xfId="0" applyNumberFormat="1" applyFont="1" applyFill="1" applyBorder="1" applyAlignment="1">
      <x:alignment horizontal="right" vertical="center"/>
    </x:xf>
    <x:xf numFmtId="0" fontId="3" fillId="7" borderId="4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1" xfId="0" applyNumberFormat="1" applyFont="1" applyFill="1" applyBorder="1"/>
    <x:xf numFmtId="0" fontId="2" fillId="8" borderId="1" xfId="0" applyNumberFormat="1" applyFont="1" applyFill="1" applyBorder="1" applyAlignment="1">
      <x:alignment wrapText="1"/>
    </x:xf>
    <x:xf numFmtId="0" fontId="2" fillId="8" borderId="1" xfId="0" applyNumberFormat="1" applyFont="1" applyFill="1" applyBorder="1" applyAlignment="1">
      <x:alignment horizontal="center" wrapText="1"/>
    </x:xf>
    <x:xf numFmtId="0" fontId="2" fillId="8" borderId="1" xfId="0" applyNumberFormat="1" applyFont="1" applyFill="1" applyBorder="1" applyAlignment="1">
      <x:alignment horizontal="center" vertical="center" wrapText="1"/>
    </x:xf>
    <x:xf numFmtId="200" fontId="1" fillId="9" borderId="2" xfId="0" applyNumberFormat="1" applyFont="1" applyFill="1" applyBorder="1" applyAlignment="1">
      <x:alignment horizontal="right" vertical="center"/>
    </x:xf>
    <x:xf numFmtId="164" fontId="1" fillId="9" borderId="2" xfId="0" applyNumberFormat="1" applyFont="1" applyFill="1" applyBorder="1" applyAlignment="1">
      <x:alignment horizontal="right" vertical="center"/>
    </x:xf>
    <x:xf numFmtId="0" fontId="1" fillId="9" borderId="2" xfId="0" applyNumberFormat="1" applyFont="1" applyFill="1" applyBorder="1" applyAlignment="1">
      <x:alignment horizontal="right" vertical="center"/>
    </x:xf>
    <x:xf numFmtId="0" fontId="1" fillId="9" borderId="2" xfId="0" applyNumberFormat="1" applyFont="1" applyFill="1" applyBorder="1" applyAlignment="1">
      <x:alignment vertical="center" wrapText="1"/>
    </x:xf>
    <x:xf numFmtId="200" fontId="1" fillId="10" borderId="4" xfId="0" applyNumberFormat="1" applyFont="1" applyFill="1" applyBorder="1" applyAlignment="1">
      <x:alignment horizontal="right" vertical="center"/>
    </x:xf>
    <x:xf numFmtId="164" fontId="1" fillId="10" borderId="4" xfId="0" applyNumberFormat="1" applyFont="1" applyFill="1" applyBorder="1" applyAlignment="1">
      <x:alignment horizontal="right" vertical="center"/>
    </x:xf>
    <x:xf numFmtId="0" fontId="1" fillId="10" borderId="4" xfId="0" applyNumberFormat="1" applyFont="1" applyFill="1" applyBorder="1" applyAlignment="1">
      <x:alignment horizontal="right" vertical="center"/>
    </x:xf>
    <x:xf numFmtId="0" fontId="1" fillId="10" borderId="4" xfId="0" applyNumberFormat="1" applyFont="1" applyFill="1" applyBorder="1" applyAlignment="1">
      <x:alignment vertical="center" wrapText="1"/>
    </x:xf>
    <x:xf numFmtId="0" fontId="3" fillId="10" borderId="4" xfId="0" applyNumberFormat="1" applyFont="1" applyFill="1" applyBorder="1" applyAlignment="1">
      <x:alignment horizontal="right" vertical="center"/>
    </x:xf>
    <x:xf numFmtId="0" fontId="3" fillId="10" borderId="4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1" xfId="0" applyNumberFormat="1" applyFont="1" applyFill="1" applyBorder="1"/>
    <x:xf numFmtId="0" fontId="2" fillId="11" borderId="1" xfId="0" applyNumberFormat="1" applyFont="1" applyFill="1" applyBorder="1" applyAlignment="1">
      <x:alignment wrapText="1"/>
    </x:xf>
    <x:xf numFmtId="0" fontId="2" fillId="11" borderId="1" xfId="0" applyNumberFormat="1" applyFont="1" applyFill="1" applyBorder="1" applyAlignment="1">
      <x:alignment horizontal="center" wrapText="1"/>
    </x:xf>
    <x:xf numFmtId="0" fontId="2" fillId="11" borderId="1" xfId="0" applyNumberFormat="1" applyFont="1" applyFill="1" applyBorder="1" applyAlignment="1">
      <x:alignment horizontal="center" vertical="center" wrapText="1"/>
    </x:xf>
    <x:xf numFmtId="200" fontId="1" fillId="12" borderId="2" xfId="0" applyNumberFormat="1" applyFont="1" applyFill="1" applyBorder="1" applyAlignment="1">
      <x:alignment horizontal="right" vertical="center"/>
    </x:xf>
    <x:xf numFmtId="164" fontId="1" fillId="12" borderId="2" xfId="0" applyNumberFormat="1" applyFont="1" applyFill="1" applyBorder="1" applyAlignment="1">
      <x:alignment horizontal="right" vertical="center"/>
    </x:xf>
    <x:xf numFmtId="0" fontId="1" fillId="12" borderId="2" xfId="0" applyNumberFormat="1" applyFont="1" applyFill="1" applyBorder="1" applyAlignment="1">
      <x:alignment horizontal="right" vertical="center"/>
    </x:xf>
    <x:xf numFmtId="0" fontId="1" fillId="12" borderId="2" xfId="0" applyNumberFormat="1" applyFont="1" applyFill="1" applyBorder="1" applyAlignment="1">
      <x:alignment vertical="center" wrapText="1"/>
    </x:xf>
    <x:xf numFmtId="200" fontId="1" fillId="13" borderId="4" xfId="0" applyNumberFormat="1" applyFont="1" applyFill="1" applyBorder="1" applyAlignment="1">
      <x:alignment horizontal="right" vertical="center"/>
    </x:xf>
    <x:xf numFmtId="164" fontId="1" fillId="13" borderId="4" xfId="0" applyNumberFormat="1" applyFont="1" applyFill="1" applyBorder="1" applyAlignment="1">
      <x:alignment horizontal="right" vertical="center"/>
    </x:xf>
    <x:xf numFmtId="0" fontId="1" fillId="13" borderId="4" xfId="0" applyNumberFormat="1" applyFont="1" applyFill="1" applyBorder="1" applyAlignment="1">
      <x:alignment horizontal="right" vertical="center"/>
    </x:xf>
    <x:xf numFmtId="0" fontId="1" fillId="13" borderId="4" xfId="0" applyNumberFormat="1" applyFont="1" applyFill="1" applyBorder="1" applyAlignment="1">
      <x:alignment vertical="center" wrapText="1"/>
    </x:xf>
    <x:xf numFmtId="0" fontId="3" fillId="13" borderId="4" xfId="0" applyNumberFormat="1" applyFont="1" applyFill="1" applyBorder="1" applyAlignment="1">
      <x:alignment horizontal="right" vertical="center"/>
    </x:xf>
    <x:xf numFmtId="0" fontId="3" fillId="13" borderId="4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1" xfId="0" applyNumberFormat="1" applyFont="1" applyFill="1" applyBorder="1"/>
    <x:xf numFmtId="0" fontId="2" fillId="14" borderId="1" xfId="0" applyNumberFormat="1" applyFont="1" applyFill="1" applyBorder="1" applyAlignment="1">
      <x:alignment wrapText="1"/>
    </x:xf>
    <x:xf numFmtId="0" fontId="2" fillId="14" borderId="1" xfId="0" applyNumberFormat="1" applyFont="1" applyFill="1" applyBorder="1" applyAlignment="1">
      <x:alignment horizontal="center" wrapText="1"/>
    </x:xf>
    <x:xf numFmtId="0" fontId="2" fillId="14" borderId="1" xfId="0" applyNumberFormat="1" applyFont="1" applyFill="1" applyBorder="1" applyAlignment="1">
      <x:alignment horizontal="center" vertical="center" wrapText="1"/>
    </x:xf>
    <x:xf numFmtId="200" fontId="1" fillId="15" borderId="2" xfId="0" applyNumberFormat="1" applyFont="1" applyFill="1" applyBorder="1" applyAlignment="1">
      <x:alignment horizontal="right" vertical="center"/>
    </x:xf>
    <x:xf numFmtId="164" fontId="1" fillId="15" borderId="2" xfId="0" applyNumberFormat="1" applyFont="1" applyFill="1" applyBorder="1" applyAlignment="1">
      <x:alignment horizontal="right" vertical="center"/>
    </x:xf>
    <x:xf numFmtId="0" fontId="1" fillId="15" borderId="2" xfId="0" applyNumberFormat="1" applyFont="1" applyFill="1" applyBorder="1" applyAlignment="1">
      <x:alignment horizontal="right" vertical="center"/>
    </x:xf>
    <x:xf numFmtId="0" fontId="1" fillId="15" borderId="2" xfId="0" applyNumberFormat="1" applyFont="1" applyFill="1" applyBorder="1" applyAlignment="1">
      <x:alignment vertical="center" wrapText="1"/>
    </x:xf>
    <x:xf numFmtId="200" fontId="1" fillId="16" borderId="4" xfId="0" applyNumberFormat="1" applyFont="1" applyFill="1" applyBorder="1" applyAlignment="1">
      <x:alignment horizontal="right" vertical="center"/>
    </x:xf>
    <x:xf numFmtId="164" fontId="1" fillId="16" borderId="4" xfId="0" applyNumberFormat="1" applyFont="1" applyFill="1" applyBorder="1" applyAlignment="1">
      <x:alignment horizontal="right" vertical="center"/>
    </x:xf>
    <x:xf numFmtId="0" fontId="1" fillId="16" borderId="4" xfId="0" applyNumberFormat="1" applyFont="1" applyFill="1" applyBorder="1" applyAlignment="1">
      <x:alignment horizontal="right" vertical="center"/>
    </x:xf>
    <x:xf numFmtId="0" fontId="1" fillId="16" borderId="4" xfId="0" applyNumberFormat="1" applyFont="1" applyFill="1" applyBorder="1" applyAlignment="1">
      <x:alignment vertical="center" wrapText="1"/>
    </x:xf>
    <x:xf numFmtId="0" fontId="3" fillId="16" borderId="4" xfId="0" applyNumberFormat="1" applyFont="1" applyFill="1" applyBorder="1" applyAlignment="1">
      <x:alignment horizontal="right" vertical="center"/>
    </x:xf>
    <x:xf numFmtId="0" fontId="3" fillId="16" borderId="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98942e3c27464d" /><Relationship Type="http://schemas.openxmlformats.org/officeDocument/2006/relationships/theme" Target="/xl/theme/theme1.xml" Id="Rcc88119517ff440c" /><Relationship Type="http://schemas.openxmlformats.org/officeDocument/2006/relationships/sharedStrings" Target="/xl/sharedStrings.xml" Id="R936a8c085eb54521" /><Relationship Type="http://schemas.openxmlformats.org/officeDocument/2006/relationships/worksheet" Target="/xl/worksheets/sheet1.xml" Id="R8d89ebde8169428c" /><Relationship Type="http://schemas.openxmlformats.org/officeDocument/2006/relationships/worksheet" Target="/xl/worksheets/sheet2.xml" Id="R3e70c658806c4e35" /><Relationship Type="http://schemas.openxmlformats.org/officeDocument/2006/relationships/worksheet" Target="/xl/worksheets/sheet3.xml" Id="R913c5540b2e841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25d10670bf44c4" /><Relationship Type="http://schemas.openxmlformats.org/officeDocument/2006/relationships/chart" Target="/xl/drawings/charts/chart2.xml" Id="R37232533456b4ee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9d7a5ed1baf34274" /><Relationship Type="http://schemas.openxmlformats.org/officeDocument/2006/relationships/chart" Target="/xl/drawings/charts/chart4.xml" Id="R648a67df20d9469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2c8b93b1e2bb4187" /><Relationship Type="http://schemas.openxmlformats.org/officeDocument/2006/relationships/chart" Target="/xl/drawings/charts/chart6.xml" Id="Ree45f3985db44f87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Scaling behavior of KS-DFT Calculations using PySCF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scatterChart>
        <c:scatterStyle val="smoothMarker"/>
        <c:ser>
          <c:idx val="0"/>
          <c:order val="0"/>
          <c:tx>
            <c:strRef>
              <c:f>'def2-SVP'!$B$18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xmlns:a="http://schemas.openxmlformats.org/drawingml/2006/main"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'def2-SVP'!$B$19:$B$26</c:f>
              <c:numCache>
                <c:formatCode>0.000</c:formatCode>
                <c:ptCount val="8"/>
                <c:pt idx="0">
                  <c:v>0.321481050900183</c:v>
                </c:pt>
                <c:pt idx="1">
                  <c:v>1.2671671315003166</c:v>
                </c:pt>
                <c:pt idx="2">
                  <c:v>4.814961015333886</c:v>
                </c:pt>
                <c:pt idx="3">
                  <c:v>11.7268806311342</c:v>
                </c:pt>
                <c:pt idx="4">
                  <c:v>24.070662221001335</c:v>
                </c:pt>
                <c:pt idx="5">
                  <c:v>62.61330387626666</c:v>
                </c:pt>
                <c:pt idx="6">
                  <c:v>116.74405809899946</c:v>
                </c:pt>
                <c:pt idx="7">
                  <c:v>228.81135780019932</c:v>
                </c:pt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955075920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Wall Time  per Iteration (s)</a:t>
                </a:r>
              </a:p>
            </c:rich>
          </c:tx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00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2146806720"/>
        <c:crosses val="autoZero"/>
        <c:crossBetween val="midCat"/>
      </c:valAx>
      <c:valAx>
        <c:axId val="2146806720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No. of Water Molecules</a:t>
                </a:r>
              </a:p>
            </c:rich>
          </c:tx>
          <c:txPr>
            <a:bodyPr xmlns:a="http://schemas.openxmlformats.org/drawingml/2006/main" rot="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955075920"/>
        <c:crosses val="autoZero"/>
        <c:crossBetween val="midCat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lt"/>
                <a:cs typeface="+mn-lt"/>
              </a:rPr>
              <a:t>Scaling behavior of KS-DFT Calculations using PySCF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scatterChart>
        <c:scatterStyle val="smoothMarker"/>
        <c:ser>
          <c:idx val="0"/>
          <c:order val="0"/>
          <c:tx>
            <c:strRef>
              <c:f>'def2-SVP'!$H$18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xmlns:a="http://schemas.openxmlformats.org/drawingml/2006/main"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'def2-SVP'!$H$19:$H$26</c:f>
              <c:numCache>
                <c:formatCode>0.000</c:formatCode>
                <c:ptCount val="8"/>
                <c:pt idx="0">
                  <c:v>0.321481050900183</c:v>
                </c:pt>
                <c:pt idx="1">
                  <c:v>1.2671671315003166</c:v>
                </c:pt>
                <c:pt idx="2">
                  <c:v>4.814961015333886</c:v>
                </c:pt>
                <c:pt idx="3">
                  <c:v>11.7268806311342</c:v>
                </c:pt>
                <c:pt idx="4">
                  <c:v>24.070662221001335</c:v>
                </c:pt>
                <c:pt idx="5">
                  <c:v>62.61330387626666</c:v>
                </c:pt>
                <c:pt idx="6">
                  <c:v>116.74405809899946</c:v>
                </c:pt>
                <c:pt idx="7">
                  <c:v>228.81135780019932</c:v>
                </c:pt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1855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lt"/>
                    <a:cs typeface="+mn-lt"/>
                  </a:rPr>
                  <a:t>Wall Time per Iteration (s)</a:t>
                </a:r>
              </a:p>
            </c:rich>
          </c:tx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00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43240127"/>
        <c:crosses val="autoZero"/>
        <c:crossBetween val="midCat"/>
      </c:valAx>
      <c:valAx>
        <c:axId val="343240127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No. of Basis Functions (Nbf)</a:t>
                </a:r>
              </a:p>
            </c:rich>
          </c:tx>
          <c:txPr>
            <a:bodyPr xmlns:a="http://schemas.openxmlformats.org/drawingml/2006/main" rot="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43241855"/>
        <c:crosses val="autoZero"/>
        <c:crossBetween val="midCat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Scaling behavior of KS-DFT Calculations using PySCF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scatterChart>
        <c:scatterStyle val="smoothMarker"/>
        <c:ser>
          <c:idx val="0"/>
          <c:order val="0"/>
          <c:tx>
            <c:strRef>
              <c:f>'def2-TZVP'!$B$18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xmlns:a="http://schemas.openxmlformats.org/drawingml/2006/main"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'def2-TZVP'!$B$19:$B$26</c:f>
              <c:numCache>
                <c:formatCode>0.000</c:formatCode>
                <c:ptCount val="8"/>
                <c:pt idx="0">
                  <c:v>0.678561059799627</c:v>
                </c:pt>
                <c:pt idx="1">
                  <c:v>2.814279292584583</c:v>
                </c:pt>
                <c:pt idx="2">
                  <c:v>11.1914406285715</c:v>
                </c:pt>
                <c:pt idx="3">
                  <c:v>26.465850257143426</c:v>
                </c:pt>
                <c:pt idx="4">
                  <c:v>56.46778880807329</c:v>
                </c:pt>
                <c:pt idx="5">
                  <c:v>159.32070629566599</c:v>
                </c:pt>
                <c:pt idx="6">
                  <c:v>286.43998233933263</c:v>
                </c:pt>
                <c:pt idx="7">
                  <c:v>562.4774555349388</c:v>
                </c:pt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955075920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Wall Time  per Iteration (s)</a:t>
                </a:r>
              </a:p>
            </c:rich>
          </c:tx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00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2146806720"/>
        <c:crosses val="autoZero"/>
        <c:crossBetween val="midCat"/>
      </c:valAx>
      <c:valAx>
        <c:axId val="2146806720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No. of Water Molecules</a:t>
                </a:r>
              </a:p>
            </c:rich>
          </c:tx>
          <c:txPr>
            <a:bodyPr xmlns:a="http://schemas.openxmlformats.org/drawingml/2006/main" rot="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955075920"/>
        <c:crosses val="autoZero"/>
        <c:crossBetween val="midCat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4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lt"/>
                <a:cs typeface="+mn-lt"/>
              </a:rPr>
              <a:t>Scaling behavior of KS-DFT Calculations using PySCF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scatterChart>
        <c:scatterStyle val="smoothMarker"/>
        <c:ser>
          <c:idx val="0"/>
          <c:order val="0"/>
          <c:tx>
            <c:strRef>
              <c:f>'def2-TZVP'!$H$18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xmlns:a="http://schemas.openxmlformats.org/drawingml/2006/main"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'def2-TZVP'!$H$19:$H$26</c:f>
              <c:numCache>
                <c:formatCode>0.000</c:formatCode>
                <c:ptCount val="8"/>
                <c:pt idx="0">
                  <c:v>0.678561059799627</c:v>
                </c:pt>
                <c:pt idx="1">
                  <c:v>2.814279292584583</c:v>
                </c:pt>
                <c:pt idx="2">
                  <c:v>11.1914406285715</c:v>
                </c:pt>
                <c:pt idx="3">
                  <c:v>26.465850257143426</c:v>
                </c:pt>
                <c:pt idx="4">
                  <c:v>56.46778880807329</c:v>
                </c:pt>
                <c:pt idx="5">
                  <c:v>159.32070629566599</c:v>
                </c:pt>
                <c:pt idx="6">
                  <c:v>286.43998233933263</c:v>
                </c:pt>
                <c:pt idx="7">
                  <c:v>562.4774555349388</c:v>
                </c:pt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1855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lt"/>
                    <a:cs typeface="+mn-lt"/>
                  </a:rPr>
                  <a:t>Wall Time per Iteration (s)</a:t>
                </a:r>
              </a:p>
            </c:rich>
          </c:tx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00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43240127"/>
        <c:crosses val="autoZero"/>
        <c:crossBetween val="midCat"/>
      </c:valAx>
      <c:valAx>
        <c:axId val="343240127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No. of Basis Functions (Nbf)</a:t>
                </a:r>
              </a:p>
            </c:rich>
          </c:tx>
          <c:txPr>
            <a:bodyPr xmlns:a="http://schemas.openxmlformats.org/drawingml/2006/main" rot="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43241855"/>
        <c:crosses val="autoZero"/>
        <c:crossBetween val="midCat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GPU4PySCF scaling with water-cluster size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scatterChart>
        <c:scatterStyle val="marker"/>
        <c:ser>
          <c:idx val="0"/>
          <c:order val="0"/>
          <c:tx>
            <c:v>Wall time per SCF iteration</c:v>
          </c:tx>
          <c:xVal>
            <c:numLit>
              <c:formatCode>General</c:formatCode>
              <c:ptCount val="0"/>
            </c:numLit>
          </c:xVal>
          <c:yVal>
            <c:numRef>
              <c:f>'def2-SVP GPU'!$B$19:$B$24</c:f>
              <c:numCache>
                <c:formatCode>0.000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Wall time per SCF iteration (s)</a:t>
                </a:r>
              </a:p>
            </c:rich>
          </c:tx>
        </c:title>
        <c:numFmt formatCode="0.00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No. of Water Molecules</a:t>
                </a:r>
              </a:p>
            </c:rich>
          </c:tx>
        </c:title>
        <c:numFmt formatCode="0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GPU4PySCF scaling with basis functions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scatterChart>
        <c:scatterStyle val="marker"/>
        <c:ser>
          <c:idx val="0"/>
          <c:order val="0"/>
          <c:tx>
            <c:v>Wall time per SCF iteration</c:v>
          </c:tx>
          <c:xVal>
            <c:numLit>
              <c:formatCode>General</c:formatCode>
              <c:ptCount val="0"/>
            </c:numLit>
          </c:xVal>
          <c:yVal>
            <c:numRef>
              <c:f>'def2-SVP GPU'!$H$19:$H$24</c:f>
              <c:numCache>
                <c:formatCode>0.000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Wall time per SCF iteration (s)</a:t>
                </a:r>
              </a:p>
            </c:rich>
          </c:tx>
        </c:title>
        <c:numFmt formatCode="0.00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No. of Basis Functions (Nbf)</a:t>
                </a:r>
              </a:p>
            </c:rich>
          </c:tx>
        </c:title>
        <c:numFmt formatCode="#,##0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25d10670bf44c4"/>
        </a:graphicData>
      </a:graphic>
    </xdr:graphicFrame>
    <xdr:clientData/>
  </xdr:twoCellAnchor>
  <xdr:twoCellAnchor>
    <xdr:from>
      <xdr:col>5</xdr:col>
      <xdr:colOff>209550</xdr:colOff>
      <xdr:row>26</xdr:row>
      <xdr:rowOff>190500</xdr:rowOff>
    </xdr:from>
    <xdr:to>
      <xdr:col>9</xdr:col>
      <xdr:colOff>812800</xdr:colOff>
      <xdr:row>44</xdr:row>
      <xdr:rowOff>120650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232533456b4ee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7a5ed1baf34274"/>
        </a:graphicData>
      </a:graphic>
    </xdr:graphicFrame>
    <xdr:clientData/>
  </xdr:twoCellAnchor>
  <xdr:twoCellAnchor>
    <xdr:from>
      <xdr:col>5</xdr:col>
      <xdr:colOff>209550</xdr:colOff>
      <xdr:row>26</xdr:row>
      <xdr:rowOff>190500</xdr:rowOff>
    </xdr:from>
    <xdr:to>
      <xdr:col>9</xdr:col>
      <xdr:colOff>812800</xdr:colOff>
      <xdr:row>44</xdr:row>
      <xdr:rowOff>120650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8a67df20d9469b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5</xdr:col>
      <xdr:colOff>0</xdr:colOff>
      <xdr:row>44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8b93b1e2bb4187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10</xdr:col>
      <xdr:colOff>0</xdr:colOff>
      <xdr:row>44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45f3985db44f8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d840b13e5e42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999c8b2143744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71b5e510d6ec4554" /></Relationships>
</file>

<file path=xl/worksheets/sheet1.xml><?xml version="1.0" encoding="utf-8"?>
<x:worksheet xmlns:x="http://schemas.openxmlformats.org/spreadsheetml/2006/main">
  <x:sheetFormatPr baseColWidth="10" defaultRowHeight="16"/>
  <x:cols>
    <x:col min="1" max="1" width="20" customWidth="1"/>
    <x:col min="2" max="2" width="22.1640625" customWidth="1"/>
    <x:col min="3" max="3" width="17.83203125" customWidth="1"/>
    <x:col min="5" max="5" width="23.83203125" customWidth="1"/>
    <x:col min="7" max="7" width="23.6640625" customWidth="1"/>
    <x:col min="8" max="8" width="14.83203125" customWidth="1"/>
  </x:cols>
  <x:sheetData>
    <x:row r="1">
      <x:c r="A1" s="2" t="s">
        <x:v>0</x:v>
      </x:c>
    </x:row>
    <x:row r="2">
      <x:c r="A2" s="2" t="s">
        <x:v>1</x:v>
      </x:c>
    </x:row>
    <x:row r="3">
      <x:c r="A3" s="2" t="s">
        <x:v>2</x:v>
      </x:c>
    </x:row>
    <x:row r="4">
      <x:c r="A4" s="2" t="s">
        <x:v>3</x:v>
      </x:c>
    </x:row>
    <x:row r="6">
      <x:c r="A6" s="2" t="s">
        <x:v>4</x:v>
      </x:c>
      <x:c r="B6" s="2" t="s">
        <x:v>5</x:v>
      </x:c>
      <x:c r="C6" s="2" t="s">
        <x:v>6</x:v>
      </x:c>
      <x:c r="D6" s="2" t="s">
        <x:v>7</x:v>
      </x:c>
      <x:c r="E6" s="2" t="s">
        <x:v>8</x:v>
      </x:c>
      <x:c r="F6" s="2" t="s">
        <x:v>9</x:v>
      </x:c>
      <x:c r="G6" s="2" t="s">
        <x:v>10</x:v>
      </x:c>
      <x:c r="H6" s="2"/>
      <x:c r="I6" s="2"/>
    </x:row>
    <x:row r="7">
      <x:c r="A7">
        <x:v>5</x:v>
      </x:c>
      <x:c r="B7">
        <x:v>120</x:v>
      </x:c>
      <x:c r="C7" s="1">
        <x:v>3.46481050900183</x:v>
      </x:c>
      <x:c r="D7" s="3">
        <x:v>0.25</x:v>
      </x:c>
      <x:c r="E7" s="1" t="n">
        <x:f t="shared" ref="E7:E14" si="0">C7-D7</x:f>
        <x:v>3.21481050900183</x:v>
      </x:c>
      <x:c r="F7" s="1">
        <x:v>10</x:v>
      </x:c>
      <x:c r="G7" t="n">
        <x:f>E7/F7</x:f>
        <x:v>0.321481050900183</x:v>
      </x:c>
    </x:row>
    <x:row r="8">
      <x:c r="A8">
        <x:v>10</x:v>
      </x:c>
      <x:c r="B8">
        <x:v>240</x:v>
      </x:c>
      <x:c r="C8" s="1">
        <x:v>16.036005578003799</x:v>
      </x:c>
      <x:c r="D8" s="3">
        <x:v>0.83</x:v>
      </x:c>
      <x:c r="E8" s="1">
        <x:f t="shared" si="0"/>
        <x:v>15.206005578003799</x:v>
      </x:c>
      <x:c r="F8" s="1">
        <x:v>12</x:v>
      </x:c>
      <x:c r="G8" t="n">
        <x:f t="shared" ref="G8:G14" si="1">E8/F8</x:f>
        <x:v>1.2671671315003166</x:v>
      </x:c>
    </x:row>
    <x:row r="9">
      <x:c r="A9">
        <x:v>20</x:v>
      </x:c>
      <x:c r="B9">
        <x:v>480</x:v>
      </x:c>
      <x:c r="C9" s="1">
        <x:v>75.564415230008294</x:v>
      </x:c>
      <x:c r="D9" s="3">
        <x:v>3.34</x:v>
      </x:c>
      <x:c r="E9" s="1">
        <x:f t="shared" si="0"/>
        <x:v>72.22441523000829</x:v>
      </x:c>
      <x:c r="F9" s="1">
        <x:v>15</x:v>
      </x:c>
      <x:c r="G9">
        <x:f t="shared" si="1"/>
        <x:v>4.8149610153338864</x:v>
      </x:c>
    </x:row>
    <x:row r="10">
      <x:c r="A10">
        <x:v>32</x:v>
      </x:c>
      <x:c r="B10">
        <x:v>768</x:v>
      </x:c>
      <x:c r="C10" s="1">
        <x:v>185.093209467013</x:v>
      </x:c>
      <x:c r="D10" s="3">
        <x:v>9.19</x:v>
      </x:c>
      <x:c r="E10" s="1">
        <x:f t="shared" si="0"/>
        <x:v>175.903209467013</x:v>
      </x:c>
      <x:c r="F10" s="1">
        <x:v>15</x:v>
      </x:c>
      <x:c r="G10">
        <x:f t="shared" si="1"/>
        <x:v>11.7268806311342</x:v>
      </x:c>
    </x:row>
    <x:row r="11">
      <x:c r="A11">
        <x:v>47</x:v>
      </x:c>
      <x:c r="B11">
        <x:v>1128</x:v>
      </x:c>
      <x:c r="C11" s="1">
        <x:v>383.57993331502001</x:v>
      </x:c>
      <x:c r="D11" s="3">
        <x:v>22.52</x:v>
      </x:c>
      <x:c r="E11" s="1" t="n">
        <x:f>C11-D11</x:f>
        <x:v>361.05993331502003</x:v>
      </x:c>
      <x:c r="F11" s="1">
        <x:v>15</x:v>
      </x:c>
      <x:c r="G11">
        <x:f t="shared" si="1"/>
        <x:v>24.070662221001335</x:v>
      </x:c>
    </x:row>
    <x:row r="12">
      <x:c r="A12">
        <x:v>76</x:v>
      </x:c>
      <x:c r="B12">
        <x:v>1824</x:v>
      </x:c>
      <x:c r="C12" s="1">
        <x:v>1018.329558144</x:v>
      </x:c>
      <x:c r="D12" s="3">
        <x:v>79.13</x:v>
      </x:c>
      <x:c r="E12" s="1">
        <x:f t="shared" si="0"/>
        <x:v>939.19955814399998</x:v>
      </x:c>
      <x:c r="F12" s="1">
        <x:v>15</x:v>
      </x:c>
      <x:c r="G12">
        <x:f t="shared" si="1"/>
        <x:v>62.613303876266663</x:v>
      </x:c>
    </x:row>
    <x:row r="13">
      <x:c r="A13">
        <x:v>100</x:v>
      </x:c>
      <x:c r="B13">
        <x:v>2400</x:v>
      </x:c>
      <x:c r="C13" s="1">
        <x:v>2269.11304578199</x:v>
      </x:c>
      <x:c r="D13" s="3">
        <x:v>167.72</x:v>
      </x:c>
      <x:c r="E13" s="1">
        <x:f t="shared" si="0"/>
        <x:v>2101.3930457819902</x:v>
      </x:c>
      <x:c r="F13" s="1">
        <x:v>18</x:v>
      </x:c>
      <x:c r="G13">
        <x:f t="shared" si="1"/>
        <x:v>116.74405809899946</x:v>
      </x:c>
    </x:row>
    <x:row r="14">
      <x:c r="A14">
        <x:v>139</x:v>
      </x:c>
      <x:c r="B14">
        <x:v>3336</x:v>
      </x:c>
      <x:c r="C14" s="1">
        <x:v>3856.7203670029899</x:v>
      </x:c>
      <x:c r="D14" s="3">
        <x:v>424.55</x:v>
      </x:c>
      <x:c r="E14" s="1">
        <x:f t="shared" si="0"/>
        <x:v>3432.1703670029897</x:v>
      </x:c>
      <x:c r="F14" s="1">
        <x:v>15</x:v>
      </x:c>
      <x:c r="G14">
        <x:f t="shared" si="1"/>
        <x:v>228.81135780019932</x:v>
      </x:c>
    </x:row>
    <x:row r="18">
      <x:c r="A18" s="2" t="s">
        <x:v>4</x:v>
      </x:c>
      <x:c r="B18" s="2" t="s">
        <x:v>10</x:v>
      </x:c>
      <x:c r="C18" s="2"/>
      <x:c r="D18" s="2"/>
      <x:c r="G18" s="2" t="s">
        <x:v>5</x:v>
      </x:c>
      <x:c r="H18" s="2" t="s">
        <x:v>10</x:v>
      </x:c>
      <x:c r="I18" s="2"/>
      <x:c r="J18" s="2"/>
    </x:row>
    <x:row r="19">
      <x:c r="A19">
        <x:v>5</x:v>
      </x:c>
      <x:c r="B19" s="4">
        <x:v>0.32148105090018297</x:v>
      </x:c>
      <x:c r="G19">
        <x:v>120</x:v>
      </x:c>
      <x:c r="H19" s="4">
        <x:v>0.32148105090018297</x:v>
      </x:c>
    </x:row>
    <x:row r="20">
      <x:c r="A20">
        <x:v>10</x:v>
      </x:c>
      <x:c r="B20" s="4">
        <x:v>1.2671671315003166</x:v>
      </x:c>
      <x:c r="G20">
        <x:v>240</x:v>
      </x:c>
      <x:c r="H20" s="4">
        <x:v>1.2671671315003166</x:v>
      </x:c>
    </x:row>
    <x:row r="21">
      <x:c r="A21">
        <x:v>20</x:v>
      </x:c>
      <x:c r="B21" s="4">
        <x:v>4.8149610153338864</x:v>
      </x:c>
      <x:c r="G21">
        <x:v>480</x:v>
      </x:c>
      <x:c r="H21" s="4">
        <x:v>4.8149610153338864</x:v>
      </x:c>
    </x:row>
    <x:row r="22">
      <x:c r="A22">
        <x:v>32</x:v>
      </x:c>
      <x:c r="B22" s="4">
        <x:v>11.7268806311342</x:v>
      </x:c>
      <x:c r="G22">
        <x:v>768</x:v>
      </x:c>
      <x:c r="H22" s="4">
        <x:v>11.7268806311342</x:v>
      </x:c>
    </x:row>
    <x:row r="23">
      <x:c r="A23">
        <x:v>47</x:v>
      </x:c>
      <x:c r="B23" s="4">
        <x:v>24.070662221001335</x:v>
      </x:c>
      <x:c r="G23">
        <x:v>1128</x:v>
      </x:c>
      <x:c r="H23" s="4">
        <x:v>24.070662221001335</x:v>
      </x:c>
    </x:row>
    <x:row r="24">
      <x:c r="A24">
        <x:v>76</x:v>
      </x:c>
      <x:c r="B24" s="4">
        <x:v>62.613303876266663</x:v>
      </x:c>
      <x:c r="G24">
        <x:v>1824</x:v>
      </x:c>
      <x:c r="H24" s="4">
        <x:v>62.613303876266663</x:v>
      </x:c>
    </x:row>
    <x:row r="25">
      <x:c r="A25">
        <x:v>100</x:v>
      </x:c>
      <x:c r="B25" s="4">
        <x:v>116.74405809899946</x:v>
      </x:c>
      <x:c r="G25">
        <x:v>2400</x:v>
      </x:c>
      <x:c r="H25" s="4">
        <x:v>116.74405809899946</x:v>
      </x:c>
    </x:row>
    <x:row r="26">
      <x:c r="A26">
        <x:v>139</x:v>
      </x:c>
      <x:c r="B26" s="4">
        <x:v>228.81135780019932</x:v>
      </x:c>
      <x:c r="G26">
        <x:v>3336</x:v>
      </x:c>
      <x:c r="H26" s="4">
        <x:v>228.81135780019932</x:v>
      </x:c>
    </x:row>
  </x:sheetData>
  <x:pageMargins left="0.7" right="0.7" top="0.75" bottom="0.75" header="0.3" footer="0.3"/>
  <x:drawing xmlns:r="http://schemas.openxmlformats.org/officeDocument/2006/relationships" r:id="R1ed840b13e5e423a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20" customWidth="1"/>
    <x:col min="2" max="2" width="22.1640625" customWidth="1"/>
    <x:col min="3" max="3" width="17.83203125" customWidth="1"/>
    <x:col min="5" max="5" width="23.83203125" customWidth="1"/>
    <x:col min="7" max="7" width="23.6640625" customWidth="1"/>
    <x:col min="8" max="8" width="14.83203125" customWidth="1"/>
  </x:cols>
  <x:sheetData>
    <x:row r="1">
      <x:c r="A1" s="2" t="s">
        <x:v>0</x:v>
      </x:c>
    </x:row>
    <x:row r="2">
      <x:c r="A2" s="2" t="s">
        <x:v>1</x:v>
      </x:c>
    </x:row>
    <x:row r="3">
      <x:c r="A3" s="2" t="s">
        <x:v>2</x:v>
      </x:c>
    </x:row>
    <x:row r="4">
      <x:c r="A4" s="2" t="s">
        <x:v>3</x:v>
      </x:c>
    </x:row>
    <x:row r="6">
      <x:c r="A6" s="2" t="s">
        <x:v>4</x:v>
      </x:c>
      <x:c r="B6" s="2" t="s">
        <x:v>5</x:v>
      </x:c>
      <x:c r="C6" s="2" t="s">
        <x:v>6</x:v>
      </x:c>
      <x:c r="D6" s="2" t="s">
        <x:v>7</x:v>
      </x:c>
      <x:c r="E6" s="2" t="s">
        <x:v>8</x:v>
      </x:c>
      <x:c r="F6" s="2" t="s">
        <x:v>9</x:v>
      </x:c>
      <x:c r="G6" s="2" t="s">
        <x:v>10</x:v>
      </x:c>
      <x:c r="H6" s="2"/>
      <x:c r="I6" s="2"/>
    </x:row>
    <x:row r="7">
      <x:c r="A7">
        <x:v>5</x:v>
      </x:c>
      <x:c r="B7">
        <x:v>215</x:v>
      </x:c>
      <x:c r="C7" s="1">
        <x:v>7.0756105979962696</x:v>
      </x:c>
      <x:c r="D7" s="3">
        <x:v>0.28999999999999998</x:v>
      </x:c>
      <x:c r="E7" s="1" t="n">
        <x:f t="shared" ref="E7:E14" si="0">C7-D7</x:f>
        <x:v>6.7856105979962695</x:v>
      </x:c>
      <x:c r="F7" s="1">
        <x:v>10</x:v>
      </x:c>
      <x:c r="G7" t="n">
        <x:f>E7/F7</x:f>
        <x:v>0.678561059799627</x:v>
      </x:c>
    </x:row>
    <x:row r="8">
      <x:c r="A8">
        <x:v>10</x:v>
      </x:c>
      <x:c r="B8">
        <x:v>430</x:v>
      </x:c>
      <x:c r="C8" s="1">
        <x:v>35.341351511014999</x:v>
      </x:c>
      <x:c r="D8" s="3">
        <x:v>1.57</x:v>
      </x:c>
      <x:c r="E8" s="1">
        <x:f t="shared" si="0"/>
        <x:v>33.771351511014998</x:v>
      </x:c>
      <x:c r="F8" s="1">
        <x:v>12</x:v>
      </x:c>
      <x:c r="G8" t="n">
        <x:f t="shared" ref="G8:G14" si="1">E8/F8</x:f>
        <x:v>2.814279292584583</x:v>
      </x:c>
    </x:row>
    <x:row r="9">
      <x:c r="A9">
        <x:v>20</x:v>
      </x:c>
      <x:c r="B9">
        <x:v>860</x:v>
      </x:c>
      <x:c r="C9" s="1">
        <x:v>162.59016880000101</x:v>
      </x:c>
      <x:c r="D9" s="3">
        <x:v>5.91</x:v>
      </x:c>
      <x:c r="E9" s="1">
        <x:f t="shared" si="0"/>
        <x:v>156.68016880000101</x:v>
      </x:c>
      <x:c r="F9" s="1">
        <x:v>14</x:v>
      </x:c>
      <x:c r="G9">
        <x:f t="shared" si="1"/>
        <x:v>11.191440628571501</x:v>
      </x:c>
    </x:row>
    <x:row r="10">
      <x:c r="A10">
        <x:v>32</x:v>
      </x:c>
      <x:c r="B10">
        <x:v>1376</x:v>
      </x:c>
      <x:c r="C10" s="1">
        <x:v>384.571903600008</x:v>
      </x:c>
      <x:c r="D10" s="3">
        <x:v>14.05</x:v>
      </x:c>
      <x:c r="E10" s="1">
        <x:f t="shared" si="0"/>
        <x:v>370.52190360000799</x:v>
      </x:c>
      <x:c r="F10" s="1">
        <x:v>14</x:v>
      </x:c>
      <x:c r="G10">
        <x:f t="shared" si="1"/>
        <x:v>26.465850257143426</x:v>
      </x:c>
    </x:row>
    <x:row r="11">
      <x:c r="A11">
        <x:v>47</x:v>
      </x:c>
      <x:c r="B11">
        <x:v>2021</x:v>
      </x:c>
      <x:c r="C11" s="1">
        <x:v>822.83904331302597</x:v>
      </x:c>
      <x:c r="D11" s="3">
        <x:v>32.29</x:v>
      </x:c>
      <x:c r="E11" s="1" t="n">
        <x:f>C11-D11</x:f>
        <x:v>790.549043313026</x:v>
      </x:c>
      <x:c r="F11" s="1">
        <x:v>14</x:v>
      </x:c>
      <x:c r="G11">
        <x:f t="shared" si="1"/>
        <x:v>56.467788808073287</x:v>
      </x:c>
    </x:row>
    <x:row r="12">
      <x:c r="A12">
        <x:v>76</x:v>
      </x:c>
      <x:c r="B12">
        <x:v>3268</x:v>
      </x:c>
      <x:c r="C12" s="1">
        <x:v>2497.8405944349902</x:v>
      </x:c>
      <x:c r="D12" s="3">
        <x:v>108.03</x:v>
      </x:c>
      <x:c r="E12" s="1">
        <x:f t="shared" si="0"/>
        <x:v>2389.81059443499</x:v>
      </x:c>
      <x:c r="F12" s="1">
        <x:v>15</x:v>
      </x:c>
      <x:c r="G12">
        <x:f t="shared" si="1"/>
        <x:v>159.32070629566599</x:v>
      </x:c>
    </x:row>
    <x:row r="13">
      <x:c r="A13">
        <x:v>100</x:v>
      </x:c>
      <x:c r="B13">
        <x:v>4300</x:v>
      </x:c>
      <x:c r="C13" s="1">
        <x:v>4501.7397350899901</x:v>
      </x:c>
      <x:c r="D13" s="3">
        <x:v>205.14</x:v>
      </x:c>
      <x:c r="E13" s="1">
        <x:f t="shared" si="0"/>
        <x:v>4296.5997350899897</x:v>
      </x:c>
      <x:c r="F13" s="1">
        <x:v>15</x:v>
      </x:c>
      <x:c r="G13">
        <x:f t="shared" si="1"/>
        <x:v>286.43998233933263</x:v>
      </x:c>
    </x:row>
    <x:row r="14">
      <x:c r="A14">
        <x:v>139</x:v>
      </x:c>
      <x:c r="B14">
        <x:v>5977</x:v>
      </x:c>
      <x:c r="C14" s="1">
        <x:v>9501.4392885590205</x:v>
      </x:c>
      <x:c r="D14" s="3">
        <x:v>501.8</x:v>
      </x:c>
      <x:c r="E14" s="1">
        <x:f t="shared" si="0"/>
        <x:v>8999.6392885590212</x:v>
      </x:c>
      <x:c r="F14" s="1">
        <x:v>16</x:v>
      </x:c>
      <x:c r="G14">
        <x:f t="shared" si="1"/>
        <x:v>562.47745553493883</x:v>
      </x:c>
    </x:row>
    <x:row r="18">
      <x:c r="A18" s="2" t="s">
        <x:v>4</x:v>
      </x:c>
      <x:c r="B18" s="2" t="s">
        <x:v>10</x:v>
      </x:c>
      <x:c r="C18" s="2"/>
      <x:c r="D18" s="2"/>
      <x:c r="G18" s="2" t="s">
        <x:v>5</x:v>
      </x:c>
      <x:c r="H18" s="2" t="s">
        <x:v>10</x:v>
      </x:c>
      <x:c r="I18" s="2"/>
      <x:c r="J18" s="2"/>
    </x:row>
    <x:row r="19">
      <x:c r="A19">
        <x:v>5</x:v>
      </x:c>
      <x:c r="B19" s="4">
        <x:v>0.678561059799627</x:v>
      </x:c>
      <x:c r="G19">
        <x:v>215</x:v>
      </x:c>
      <x:c r="H19" s="4">
        <x:v>0.678561059799627</x:v>
      </x:c>
    </x:row>
    <x:row r="20">
      <x:c r="A20">
        <x:v>10</x:v>
      </x:c>
      <x:c r="B20" s="4">
        <x:v>2.8142792925845832</x:v>
      </x:c>
      <x:c r="G20">
        <x:v>430</x:v>
      </x:c>
      <x:c r="H20" s="4">
        <x:v>2.8142792925845832</x:v>
      </x:c>
    </x:row>
    <x:row r="21">
      <x:c r="A21">
        <x:v>20</x:v>
      </x:c>
      <x:c r="B21" s="4">
        <x:v>11.191440628571501</x:v>
      </x:c>
      <x:c r="G21">
        <x:v>860</x:v>
      </x:c>
      <x:c r="H21" s="4">
        <x:v>11.191440628571501</x:v>
      </x:c>
    </x:row>
    <x:row r="22">
      <x:c r="A22">
        <x:v>32</x:v>
      </x:c>
      <x:c r="B22" s="4">
        <x:v>26.465850257143426</x:v>
      </x:c>
      <x:c r="G22">
        <x:v>1376</x:v>
      </x:c>
      <x:c r="H22" s="4">
        <x:v>26.465850257143426</x:v>
      </x:c>
    </x:row>
    <x:row r="23">
      <x:c r="A23">
        <x:v>47</x:v>
      </x:c>
      <x:c r="B23" s="4">
        <x:v>56.467788808073287</x:v>
      </x:c>
      <x:c r="G23">
        <x:v>2021</x:v>
      </x:c>
      <x:c r="H23" s="4">
        <x:v>56.467788808073287</x:v>
      </x:c>
    </x:row>
    <x:row r="24">
      <x:c r="A24">
        <x:v>76</x:v>
      </x:c>
      <x:c r="B24" s="4">
        <x:v>159.32070629566599</x:v>
      </x:c>
      <x:c r="G24">
        <x:v>3268</x:v>
      </x:c>
      <x:c r="H24" s="4">
        <x:v>159.32070629566599</x:v>
      </x:c>
    </x:row>
    <x:row r="25">
      <x:c r="A25">
        <x:v>100</x:v>
      </x:c>
      <x:c r="B25" s="4">
        <x:v>286.43998233933263</x:v>
      </x:c>
      <x:c r="G25">
        <x:v>4300</x:v>
      </x:c>
      <x:c r="H25" s="4">
        <x:v>286.43998233933263</x:v>
      </x:c>
    </x:row>
    <x:row r="26">
      <x:c r="A26">
        <x:v>139</x:v>
      </x:c>
      <x:c r="B26" s="4">
        <x:v>562.47745553493883</x:v>
      </x:c>
      <x:c r="G26">
        <x:v>5977</x:v>
      </x:c>
      <x:c r="H26" s="4">
        <x:v>562.47745553493883</x:v>
      </x:c>
    </x:row>
  </x:sheetData>
  <x:pageMargins left="0.7" right="0.7" top="0.75" bottom="0.75" header="0.3" footer="0.3"/>
  <x:drawing xmlns:r="http://schemas.openxmlformats.org/officeDocument/2006/relationships" r:id="R3999c8b2143744d4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24" hidden="0" customWidth="1"/>
    <x:col min="5" max="5" width="21" hidden="0" customWidth="1"/>
    <x:col min="6" max="6" width="15" hidden="0" customWidth="1"/>
    <x:col min="7" max="7" width="25" hidden="0" customWidth="1"/>
    <x:col min="8" max="8" width="15" hidden="0" customWidth="1"/>
    <x:col min="9" max="9" width="52" hidden="0" customWidth="1"/>
    <x:col min="11" max="11" width="25" hidden="0" customWidth="1"/>
    <x:col min="12" max="12" width="55" hidden="0" customWidth="1"/>
  </x:cols>
  <x:sheetData>
    <x:row r="1" ht="15" hidden="0" customHeight="1">
      <x:c r="A1" s="5" t="str">
        <x:v>Scaling behavior</x:v>
      </x:c>
      <x:c r="B1"/>
      <x:c r="C1"/>
      <x:c r="D1"/>
      <x:c r="E1"/>
      <x:c r="F1"/>
      <x:c r="G1"/>
      <x:c r="H1"/>
      <x:c r="I1"/>
      <x:c r="K1" s="102" t="str">
        <x:v>Benchmark metadata</x:v>
      </x:c>
      <x:c r="L1" s="102" t="str">
        <x:v>Value</x:v>
      </x:c>
    </x:row>
    <x:row r="2" ht="15" hidden="0" customHeight="1">
      <x:c r="A2" s="5" t="str">
        <x:v>Latest GPU benchmark results: v1.7.6</x:v>
      </x:c>
      <x:c r="B2"/>
      <x:c r="C2"/>
      <x:c r="D2"/>
      <x:c r="E2"/>
      <x:c r="F2"/>
      <x:c r="G2"/>
      <x:c r="H2"/>
      <x:c r="I2"/>
      <x:c r="K2" s="45" t="str">
        <x:v>Selected result version</x:v>
      </x:c>
      <x:c r="L2" s="46" t="str">
        <x:v>v1.7.6</x:v>
      </x:c>
    </x:row>
    <x:row r="3" ht="15" hidden="0" customHeight="1">
      <x:c r="A3" s="5" t="str">
        <x:v>GPU4PySCF on NVIDIA A100-SXM4-80GB</x:v>
      </x:c>
      <x:c r="B3"/>
      <x:c r="C3"/>
      <x:c r="D3"/>
      <x:c r="E3"/>
      <x:c r="F3"/>
      <x:c r="G3"/>
      <x:c r="H3"/>
      <x:c r="I3"/>
      <x:c r="K3" s="47" t="str">
        <x:v>GPU</x:v>
      </x:c>
      <x:c r="L3" s="48" t="str">
        <x:v>NVIDIA A100-SXM4-80GB</x:v>
      </x:c>
    </x:row>
    <x:row r="4" ht="15" hidden="0" customHeight="1">
      <x:c r="A4" s="5" t="str">
        <x:v>PBE/def2-SVP, def2-universal-JFIT, level-3 grid; 2 CPU threads</x:v>
      </x:c>
      <x:c r="B4"/>
      <x:c r="C4"/>
      <x:c r="D4"/>
      <x:c r="E4"/>
      <x:c r="F4"/>
      <x:c r="G4"/>
      <x:c r="H4"/>
      <x:c r="I4"/>
      <x:c r="K4" s="47" t="str">
        <x:v>NVIDIA driver</x:v>
      </x:c>
      <x:c r="L4" s="48" t="str">
        <x:v>530.30.02</x:v>
      </x:c>
    </x:row>
    <x:row r="5" ht="15" hidden="0" customHeight="1">
      <x:c r="K5" s="47" t="str">
        <x:v>CUDA version</x:v>
      </x:c>
      <x:c r="L5" s="48" t="str">
        <x:v>12.1</x:v>
      </x:c>
    </x:row>
    <x:row r="6" ht="15" hidden="0" customHeight="1">
      <x:c r="A6" s="105" t="str">
        <x:v>H2O molecules</x:v>
      </x:c>
      <x:c r="B6" s="105" t="str">
        <x:v>Basis functions</x:v>
      </x:c>
      <x:c r="C6" s="105" t="str">
        <x:v>Total wall time (s)</x:v>
      </x:c>
      <x:c r="D6" s="105" t="str">
        <x:v>Grid GPU time (s)</x:v>
      </x:c>
      <x:c r="E6" s="105" t="str">
        <x:v>Wall time excl. grid (s)</x:v>
      </x:c>
      <x:c r="F6" s="105" t="str">
        <x:v>SCF iterations</x:v>
      </x:c>
      <x:c r="G6" s="105" t="str">
        <x:v>Grid-excl. time / iter (s)</x:v>
      </x:c>
      <x:c r="H6" s="105" t="str">
        <x:v>Status</x:v>
      </x:c>
      <x:c r="I6" s="105" t="str">
        <x:v>Notes</x:v>
      </x:c>
      <x:c r="K6" s="47" t="str">
        <x:v>LibXC version</x:v>
      </x:c>
      <x:c r="L6" s="48" t="str">
        <x:v>7.0.0</x:v>
      </x:c>
    </x:row>
    <x:row r="7" ht="15" hidden="0" customHeight="1">
      <x:c r="A7" s="106" t="n">
        <x:v>5</x:v>
      </x:c>
      <x:c r="B7" s="106" t="n">
        <x:f>A7*$L$12</x:f>
        <x:v>120</x:v>
      </x:c>
      <x:c r="C7" s="107" t="n">
        <x:v>51.33015223266557</x:v>
      </x:c>
      <x:c r="D7" s="107" t="n">
        <x:v>0.07812999999999999</x:v>
      </x:c>
      <x:c r="E7" s="107" t="n">
        <x:f>IF(OR(C7="",D7=""),"",C7-D7)</x:f>
        <x:v>51.25202223266557</x:v>
      </x:c>
      <x:c r="F7" s="106" t="n">
        <x:v>9</x:v>
      </x:c>
      <x:c r="G7" s="107" t="n">
        <x:f>IF(OR(E7="",F7=""),"",E7/F7)</x:f>
        <x:v>5.69466913696284</x:v>
      </x:c>
      <x:c r="H7" s="108" t="str">
        <x:v>Converged</x:v>
      </x:c>
      <x:c r="I7" s="109" t="str">
        <x:v>Cold start / first-use overhead; excluded from scaling charts.</x:v>
      </x:c>
      <x:c r="K7" s="47" t="str">
        <x:v>CPU threads requested</x:v>
      </x:c>
      <x:c r="L7" s="48" t="n">
        <x:v>2</x:v>
      </x:c>
    </x:row>
    <x:row r="8" ht="15" hidden="0" customHeight="1">
      <x:c r="A8" s="26" t="n">
        <x:v>10</x:v>
      </x:c>
      <x:c r="B8" s="26" t="n">
        <x:f>A8*$L$12</x:f>
        <x:v>240</x:v>
      </x:c>
      <x:c r="C8" s="29" t="n">
        <x:v>0.8989232229068875</x:v>
      </x:c>
      <x:c r="D8" s="29" t="n">
        <x:v>0.004900000000000001</x:v>
      </x:c>
      <x:c r="E8" s="29" t="n">
        <x:f>IF(OR(C8="",D8=""),"",C8-D8)</x:f>
        <x:v>0.8940232229068875</x:v>
      </x:c>
      <x:c r="F8" s="26" t="n">
        <x:v>11</x:v>
      </x:c>
      <x:c r="G8" s="29" t="n">
        <x:f>IF(OR(E8="",F8=""),"",E8/F8)</x:f>
        <x:v>0.08127483844608069</x:v>
      </x:c>
      <x:c r="H8" s="20" t="str">
        <x:v>Converged</x:v>
      </x:c>
      <x:c r="I8" s="23" t="str"/>
      <x:c r="K8" s="47" t="str">
        <x:v>Functional</x:v>
      </x:c>
      <x:c r="L8" s="48" t="str">
        <x:v>PBE</x:v>
      </x:c>
    </x:row>
    <x:row r="9" ht="15" hidden="0" customHeight="1">
      <x:c r="A9" s="26" t="n">
        <x:v>20</x:v>
      </x:c>
      <x:c r="B9" s="26" t="n">
        <x:f>A9*$L$12</x:f>
        <x:v>480</x:v>
      </x:c>
      <x:c r="C9" s="29" t="n">
        <x:v>1.8628872619010508</x:v>
      </x:c>
      <x:c r="D9" s="29" t="n">
        <x:v>0.01475</x:v>
      </x:c>
      <x:c r="E9" s="29" t="n">
        <x:f>IF(OR(C9="",D9=""),"",C9-D9)</x:f>
        <x:v>1.8481372619010508</x:v>
      </x:c>
      <x:c r="F9" s="26" t="n">
        <x:v>14</x:v>
      </x:c>
      <x:c r="G9" s="29" t="n">
        <x:f>IF(OR(E9="",F9=""),"",E9/F9)</x:f>
        <x:v>0.13200980442150362</x:v>
      </x:c>
      <x:c r="H9" s="20" t="str">
        <x:v>Converged</x:v>
      </x:c>
      <x:c r="I9" s="23" t="str"/>
      <x:c r="K9" s="47" t="str">
        <x:v>Basis set</x:v>
      </x:c>
      <x:c r="L9" s="48" t="str">
        <x:v>def2-SVP</x:v>
      </x:c>
    </x:row>
    <x:row r="10" ht="15" hidden="0" customHeight="1">
      <x:c r="A10" s="26" t="n">
        <x:v>32</x:v>
      </x:c>
      <x:c r="B10" s="26" t="n">
        <x:f>A10*$L$12</x:f>
        <x:v>768</x:v>
      </x:c>
      <x:c r="C10" s="29" t="n">
        <x:v>3.0899919220246375</x:v>
      </x:c>
      <x:c r="D10" s="29" t="n">
        <x:v>0.04667</x:v>
      </x:c>
      <x:c r="E10" s="29" t="n">
        <x:f>IF(OR(C10="",D10=""),"",C10-D10)</x:f>
        <x:v>3.0433219220246372</x:v>
      </x:c>
      <x:c r="F10" s="26" t="n">
        <x:v>14</x:v>
      </x:c>
      <x:c r="G10" s="29" t="n">
        <x:f>IF(OR(E10="",F10=""),"",E10/F10)</x:f>
        <x:v>0.2173801372874741</x:v>
      </x:c>
      <x:c r="H10" s="20" t="str">
        <x:v>Converged</x:v>
      </x:c>
      <x:c r="I10" s="23" t="str"/>
      <x:c r="K10" s="47" t="str">
        <x:v>Auxiliary basis</x:v>
      </x:c>
      <x:c r="L10" s="48" t="str">
        <x:v>def2-universal-jfit</x:v>
      </x:c>
    </x:row>
    <x:row r="11" ht="15" hidden="0" customHeight="1">
      <x:c r="A11" s="26" t="n">
        <x:v>47</x:v>
      </x:c>
      <x:c r="B11" s="26" t="n">
        <x:f>A11*$L$12</x:f>
        <x:v>1128</x:v>
      </x:c>
      <x:c r="C11" s="29" t="n">
        <x:v>5.110901345964521</x:v>
      </x:c>
      <x:c r="D11" s="29" t="n">
        <x:v>0.13437000000000002</x:v>
      </x:c>
      <x:c r="E11" s="29" t="n">
        <x:f>IF(OR(C11="",D11=""),"",C11-D11)</x:f>
        <x:v>4.9765313459645215</x:v>
      </x:c>
      <x:c r="F11" s="26" t="n">
        <x:v>14</x:v>
      </x:c>
      <x:c r="G11" s="29" t="n">
        <x:f>IF(OR(E11="",F11=""),"",E11/F11)</x:f>
        <x:v>0.35546652471175155</x:v>
      </x:c>
      <x:c r="H11" s="20" t="str">
        <x:v>Converged</x:v>
      </x:c>
      <x:c r="I11" s="23" t="str"/>
      <x:c r="K11" s="47" t="str">
        <x:v>Grid level</x:v>
      </x:c>
      <x:c r="L11" s="48" t="n">
        <x:v>3</x:v>
      </x:c>
    </x:row>
    <x:row r="12" ht="15" hidden="0" customHeight="1">
      <x:c r="A12" s="26" t="n">
        <x:v>76</x:v>
      </x:c>
      <x:c r="B12" s="26" t="n">
        <x:f>A12*$L$12</x:f>
        <x:v>1824</x:v>
      </x:c>
      <x:c r="C12" s="29" t="n">
        <x:v>13.178847175091505</x:v>
      </x:c>
      <x:c r="D12" s="29" t="n">
        <x:v>0.54306</x:v>
      </x:c>
      <x:c r="E12" s="29" t="n">
        <x:f>IF(OR(C12="",D12=""),"",C12-D12)</x:f>
        <x:v>12.635787175091505</x:v>
      </x:c>
      <x:c r="F12" s="26" t="n">
        <x:v>14</x:v>
      </x:c>
      <x:c r="G12" s="29" t="n">
        <x:f>IF(OR(E12="",F12=""),"",E12/F12)</x:f>
        <x:v>0.9025562267922503</x:v>
      </x:c>
      <x:c r="H12" s="20" t="str">
        <x:v>Converged</x:v>
      </x:c>
      <x:c r="I12" s="23" t="str"/>
      <x:c r="K12" s="47" t="str">
        <x:v>Basis functions per H2O</x:v>
      </x:c>
      <x:c r="L12" s="48" t="n">
        <x:v>24</x:v>
      </x:c>
    </x:row>
    <x:row r="13" ht="15" hidden="0" customHeight="1">
      <x:c r="A13" s="26" t="n">
        <x:v>100</x:v>
      </x:c>
      <x:c r="B13" s="26" t="n">
        <x:f>A13*$L$12</x:f>
        <x:v>2400</x:v>
      </x:c>
      <x:c r="C13" s="29" t="n">
        <x:v>73.7751439078711</x:v>
      </x:c>
      <x:c r="D13" s="29" t="n">
        <x:v>1.20874</x:v>
      </x:c>
      <x:c r="E13" s="29" t="n">
        <x:f>IF(OR(C13="",D13=""),"",C13-D13)</x:f>
        <x:v>72.56640390787109</x:v>
      </x:c>
      <x:c r="F13" s="26" t="n">
        <x:v>15</x:v>
      </x:c>
      <x:c r="G13" s="29" t="n">
        <x:f>IF(OR(E13="",F13=""),"",E13/F13)</x:f>
        <x:v>4.83776026052474</x:v>
      </x:c>
      <x:c r="H13" s="20" t="str">
        <x:v>Converged</x:v>
      </x:c>
      <x:c r="I13" s="23" t="str"/>
      <x:c r="K13" s="47" t="str">
        <x:v>SCF threshold (Eh)</x:v>
      </x:c>
      <x:c r="L13" s="51" t="n">
        <x:v>1e-7</x:v>
      </x:c>
    </x:row>
    <x:row r="14" ht="15" hidden="0" customHeight="1">
      <x:c r="A14" s="110" t="n">
        <x:v>139</x:v>
      </x:c>
      <x:c r="B14" s="110" t="n">
        <x:f>A14*$L$12</x:f>
        <x:v>3336</x:v>
      </x:c>
      <x:c r="C14" s="111"/>
      <x:c r="D14" s="111" t="n">
        <x:v>3.25392</x:v>
      </x:c>
      <x:c r="E14" s="111" t="str">
        <x:f>IF(OR(C14="",D14=""),"",C14-D14)</x:f>
      </x:c>
      <x:c r="F14" s="110"/>
      <x:c r="G14" s="111" t="str">
        <x:f>IF(OR(E14="",F14=""),"",E14/F14)</x:f>
      </x:c>
      <x:c r="H14" s="114" t="str">
        <x:v>OOM</x:v>
      </x:c>
      <x:c r="I14" s="115" t="str">
        <x:v>After grid generation; excluded from charts.</x:v>
      </x:c>
      <x:c r="K14" s="47" t="str">
        <x:v>Grid-time definition</x:v>
      </x:c>
      <x:c r="L14" s="48" t="str">
        <x:v>CUDA-event GPU elapsed time</x:v>
      </x:c>
    </x:row>
    <x:row r="15" ht="43.20000076293945" hidden="0" customHeight="1">
      <x:c r="K15" s="49" t="str">
        <x:v>Source output</x:v>
      </x:c>
      <x:c r="L15" s="50" t="str">
        <x:v>/Users/manas/Documents/PyFock/benchmarks_tests/FINAL_Benchmarks_for_paper/Scaling_PySCF_GPU_Benchmark/3D_Water_Clusters/SAO_latest/output_def2-SVP_GGA_gpu-test_v1.7.6</x:v>
      </x:c>
    </x:row>
    <x:row r="18">
      <x:c r="A18" s="5" t="str">
        <x:v>No. of water molecules</x:v>
      </x:c>
      <x:c r="B18" s="5" t="str">
        <x:v>Wall time excl. grid / iteration (s)</x:v>
      </x:c>
      <x:c r="G18" s="5" t="str">
        <x:v>No. of basis functions</x:v>
      </x:c>
      <x:c r="H18" s="5" t="str">
        <x:v>Wall time excl. grid / iteration (s)</x:v>
      </x:c>
    </x:row>
    <x:row r="19">
      <x:c r="A19" s="42" t="n">
        <x:f>A8</x:f>
        <x:v>10</x:v>
      </x:c>
      <x:c r="B19" s="43" t="n">
        <x:f>G8</x:f>
        <x:v>0.08127483844608069</x:v>
      </x:c>
      <x:c r="C19" s="41"/>
      <x:c r="D19" s="41"/>
      <x:c r="E19" s="41"/>
      <x:c r="F19" s="41"/>
      <x:c r="G19" s="42" t="n">
        <x:f>B8</x:f>
        <x:v>240</x:v>
      </x:c>
      <x:c r="H19" s="43" t="n">
        <x:f>G8</x:f>
        <x:v>0.08127483844608069</x:v>
      </x:c>
    </x:row>
    <x:row r="20">
      <x:c r="A20" s="42" t="n">
        <x:f>A9</x:f>
        <x:v>20</x:v>
      </x:c>
      <x:c r="B20" s="43" t="n">
        <x:f>G9</x:f>
        <x:v>0.13200980442150362</x:v>
      </x:c>
      <x:c r="C20" s="41"/>
      <x:c r="D20" s="41"/>
      <x:c r="E20" s="41"/>
      <x:c r="F20" s="41"/>
      <x:c r="G20" s="42" t="n">
        <x:f>B9</x:f>
        <x:v>480</x:v>
      </x:c>
      <x:c r="H20" s="43" t="n">
        <x:f>G9</x:f>
        <x:v>0.13200980442150362</x:v>
      </x:c>
    </x:row>
    <x:row r="21">
      <x:c r="A21" s="42" t="n">
        <x:f>A10</x:f>
        <x:v>32</x:v>
      </x:c>
      <x:c r="B21" s="43" t="n">
        <x:f>G10</x:f>
        <x:v>0.2173801372874741</x:v>
      </x:c>
      <x:c r="C21" s="41"/>
      <x:c r="D21" s="41"/>
      <x:c r="E21" s="41"/>
      <x:c r="F21" s="41"/>
      <x:c r="G21" s="42" t="n">
        <x:f>B10</x:f>
        <x:v>768</x:v>
      </x:c>
      <x:c r="H21" s="43" t="n">
        <x:f>G10</x:f>
        <x:v>0.2173801372874741</x:v>
      </x:c>
    </x:row>
    <x:row r="22">
      <x:c r="A22" s="42" t="n">
        <x:f>A11</x:f>
        <x:v>47</x:v>
      </x:c>
      <x:c r="B22" s="43" t="n">
        <x:f>G11</x:f>
        <x:v>0.35546652471175155</x:v>
      </x:c>
      <x:c r="C22" s="41"/>
      <x:c r="D22" s="41"/>
      <x:c r="E22" s="41"/>
      <x:c r="F22" s="41"/>
      <x:c r="G22" s="42" t="n">
        <x:f>B11</x:f>
        <x:v>1128</x:v>
      </x:c>
      <x:c r="H22" s="43" t="n">
        <x:f>G11</x:f>
        <x:v>0.35546652471175155</x:v>
      </x:c>
    </x:row>
    <x:row r="23">
      <x:c r="A23" s="42" t="n">
        <x:f>A12</x:f>
        <x:v>76</x:v>
      </x:c>
      <x:c r="B23" s="43" t="n">
        <x:f>G12</x:f>
        <x:v>0.9025562267922503</x:v>
      </x:c>
      <x:c r="C23" s="41"/>
      <x:c r="D23" s="41"/>
      <x:c r="E23" s="41"/>
      <x:c r="F23" s="41"/>
      <x:c r="G23" s="42" t="n">
        <x:f>B12</x:f>
        <x:v>1824</x:v>
      </x:c>
      <x:c r="H23" s="43" t="n">
        <x:f>G12</x:f>
        <x:v>0.9025562267922503</x:v>
      </x:c>
    </x:row>
    <x:row r="24">
      <x:c r="A24" s="42" t="n">
        <x:f>A13</x:f>
        <x:v>100</x:v>
      </x:c>
      <x:c r="B24" s="43" t="n">
        <x:f>G13</x:f>
        <x:v>4.83776026052474</x:v>
      </x:c>
      <x:c r="C24" s="41"/>
      <x:c r="D24" s="41"/>
      <x:c r="E24" s="41"/>
      <x:c r="F24" s="41"/>
      <x:c r="G24" s="42" t="n">
        <x:f>B13</x:f>
        <x:v>2400</x:v>
      </x:c>
      <x:c r="H24" s="43" t="n">
        <x:f>G13</x:f>
        <x:v>4.83776026052474</x:v>
      </x:c>
    </x:row>
  </x:sheetData>
  <x:pageMargins left="0.7" right="0.7" top="0.75" bottom="0.75" header="0.3" footer="0.3"/>
  <x:drawing xmlns:r="http://schemas.openxmlformats.org/officeDocument/2006/relationships" r:id="R71b5e510d6ec4554"/>
</x:worksheet>
</file>