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5FF0ED26-A868-1C4B-AE76-794686B32011}" xr6:coauthVersionLast="47" xr6:coauthVersionMax="47" xr10:uidLastSave="{00000000-0000-0000-0000-000000000000}"/>
  <bookViews>
    <workbookView xWindow="0" yWindow="760" windowWidth="29400" windowHeight="16800" activeTab="1" xr2:uid="{580CF0B2-FD39-1547-AD8E-82680C382266}"/>
  </bookViews>
  <sheets>
    <sheet name="def2-SVP" sheetId="1" r:id="rId1"/>
    <sheet name="def2-TZV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G9" i="2"/>
  <c r="G10" i="2"/>
  <c r="G11" i="2"/>
  <c r="G12" i="2"/>
  <c r="G13" i="2"/>
  <c r="G14" i="2"/>
  <c r="G7" i="2"/>
  <c r="G8" i="1"/>
  <c r="G9" i="1"/>
  <c r="G10" i="1"/>
  <c r="G11" i="1"/>
  <c r="G12" i="1"/>
  <c r="G13" i="1"/>
  <c r="G14" i="1"/>
  <c r="G7" i="1"/>
  <c r="E14" i="2"/>
  <c r="E13" i="2"/>
  <c r="E12" i="2"/>
  <c r="E11" i="2"/>
  <c r="E10" i="2"/>
  <c r="E9" i="2"/>
  <c r="E8" i="2"/>
  <c r="E7" i="2"/>
  <c r="E11" i="1"/>
  <c r="E7" i="1"/>
  <c r="E8" i="1"/>
  <c r="E9" i="1"/>
  <c r="E10" i="1"/>
  <c r="E12" i="1"/>
  <c r="E13" i="1"/>
  <c r="E14" i="1"/>
</calcChain>
</file>

<file path=xl/sharedStrings.xml><?xml version="1.0" encoding="utf-8"?>
<sst xmlns="http://schemas.openxmlformats.org/spreadsheetml/2006/main" count="30" uniqueCount="11">
  <si>
    <t>Scaling behavior</t>
  </si>
  <si>
    <t>3D water clusters</t>
  </si>
  <si>
    <t>No. of water molecules</t>
  </si>
  <si>
    <t>No. of basis functions</t>
  </si>
  <si>
    <t>Total Time Taken (s)</t>
  </si>
  <si>
    <t>Total Time Taken (s) / iter</t>
  </si>
  <si>
    <t>Iterations</t>
  </si>
  <si>
    <t>All calculations on 4 cores</t>
  </si>
  <si>
    <t>Grids gen (s)</t>
  </si>
  <si>
    <t>Tot time - Grids Gen (s)</t>
  </si>
  <si>
    <t>CPU PySCF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</si>
</sst>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PySCF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'def2-SVP'!$B$18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'def2-SVP'!$A$19:$A$26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'def2-SVP'!$B$19:$B$26</c:f>
              <c:numCache>
                <c:formatCode>0.000</c:formatCode>
                <c:ptCount val="8"/>
                <c:pt idx="0">
                  <c:v>0.32148105090018297</c:v>
                </c:pt>
                <c:pt idx="1">
                  <c:v>1.2671671315003166</c:v>
                </c:pt>
                <c:pt idx="2">
                  <c:v>4.8149610153338864</c:v>
                </c:pt>
                <c:pt idx="3">
                  <c:v>11.7268806311342</c:v>
                </c:pt>
                <c:pt idx="4">
                  <c:v>24.070662221001335</c:v>
                </c:pt>
                <c:pt idx="5">
                  <c:v>62.613303876266663</c:v>
                </c:pt>
                <c:pt idx="6">
                  <c:v>116.74405809899946</c:v>
                </c:pt>
                <c:pt idx="7">
                  <c:v>228.81135780019932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FE-AE49-9275-0B20C9913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PySCF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'def2-SVP'!$H$18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'def2-SVP'!$G$19:$G$26</c:f>
              <c:numCache>
                <c:formatCode>General</c:formatCode>
                <c:ptCount val="8"/>
                <c:pt idx="0">
                  <c:v>120</c:v>
                </c:pt>
                <c:pt idx="1">
                  <c:v>240</c:v>
                </c:pt>
                <c:pt idx="2">
                  <c:v>480</c:v>
                </c:pt>
                <c:pt idx="3">
                  <c:v>768</c:v>
                </c:pt>
                <c:pt idx="4">
                  <c:v>1128</c:v>
                </c:pt>
                <c:pt idx="5">
                  <c:v>1824</c:v>
                </c:pt>
                <c:pt idx="6">
                  <c:v>2400</c:v>
                </c:pt>
                <c:pt idx="7">
                  <c:v>3336</c:v>
                </c:pt>
              </c:numCache>
            </c:numRef>
          </c:xVal>
          <c:yVal>
            <c:numRef>
              <c:f>'def2-SVP'!$H$19:$H$26</c:f>
              <c:numCache>
                <c:formatCode>0.000</c:formatCode>
                <c:ptCount val="8"/>
                <c:pt idx="0">
                  <c:v>0.32148105090018297</c:v>
                </c:pt>
                <c:pt idx="1">
                  <c:v>1.2671671315003166</c:v>
                </c:pt>
                <c:pt idx="2">
                  <c:v>4.8149610153338864</c:v>
                </c:pt>
                <c:pt idx="3">
                  <c:v>11.7268806311342</c:v>
                </c:pt>
                <c:pt idx="4">
                  <c:v>24.070662221001335</c:v>
                </c:pt>
                <c:pt idx="5">
                  <c:v>62.613303876266663</c:v>
                </c:pt>
                <c:pt idx="6">
                  <c:v>116.74405809899946</c:v>
                </c:pt>
                <c:pt idx="7">
                  <c:v>228.81135780019932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26-7C4C-8466-D9C62B7BE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Scaling behavior of KS-DFT</a:t>
            </a:r>
            <a:r>
              <a:rPr lang="en-GB" baseline="0"/>
              <a:t> Calculations using PySCF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'def2-TZVP'!$B$18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'def2-TZVP'!$A$19:$A$26</c:f>
              <c:numCache>
                <c:formatCode>General</c:formatCode>
                <c:ptCount val="8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32</c:v>
                </c:pt>
                <c:pt idx="4">
                  <c:v>47</c:v>
                </c:pt>
                <c:pt idx="5">
                  <c:v>76</c:v>
                </c:pt>
                <c:pt idx="6">
                  <c:v>100</c:v>
                </c:pt>
                <c:pt idx="7">
                  <c:v>139</c:v>
                </c:pt>
              </c:numCache>
            </c:numRef>
          </c:xVal>
          <c:yVal>
            <c:numRef>
              <c:f>'def2-TZVP'!$B$19:$B$26</c:f>
              <c:numCache>
                <c:formatCode>0.000</c:formatCode>
                <c:ptCount val="8"/>
                <c:pt idx="0">
                  <c:v>0.678561059799627</c:v>
                </c:pt>
                <c:pt idx="1">
                  <c:v>2.8142792925845832</c:v>
                </c:pt>
                <c:pt idx="2">
                  <c:v>11.191440628571501</c:v>
                </c:pt>
                <c:pt idx="3">
                  <c:v>26.465850257143426</c:v>
                </c:pt>
                <c:pt idx="4">
                  <c:v>56.467788808073287</c:v>
                </c:pt>
                <c:pt idx="5">
                  <c:v>159.32070629566599</c:v>
                </c:pt>
                <c:pt idx="6">
                  <c:v>286.43998233933263</c:v>
                </c:pt>
                <c:pt idx="7">
                  <c:v>562.47745553493883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A2-8548-9C7F-ACE393F71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6806720"/>
        <c:axId val="955075920"/>
      </c:scatterChart>
      <c:valAx>
        <c:axId val="21468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Water Molecules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075920"/>
        <c:crosses val="autoZero"/>
        <c:crossBetween val="midCat"/>
      </c:valAx>
      <c:valAx>
        <c:axId val="95507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Wall Time 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6806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Scaling behavior of KS-DFT Calculations using PySCF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'def2-TZVP'!$H$18</c:f>
              <c:strCache>
                <c:ptCount val="1"/>
                <c:pt idx="0">
                  <c:v>Total Time Taken (s) / iter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'def2-TZVP'!$G$19:$G$26</c:f>
              <c:numCache>
                <c:formatCode>General</c:formatCode>
                <c:ptCount val="8"/>
                <c:pt idx="0">
                  <c:v>215</c:v>
                </c:pt>
                <c:pt idx="1">
                  <c:v>430</c:v>
                </c:pt>
                <c:pt idx="2">
                  <c:v>860</c:v>
                </c:pt>
                <c:pt idx="3">
                  <c:v>1376</c:v>
                </c:pt>
                <c:pt idx="4">
                  <c:v>2021</c:v>
                </c:pt>
                <c:pt idx="5">
                  <c:v>3268</c:v>
                </c:pt>
                <c:pt idx="6">
                  <c:v>4300</c:v>
                </c:pt>
                <c:pt idx="7">
                  <c:v>5977</c:v>
                </c:pt>
              </c:numCache>
            </c:numRef>
          </c:xVal>
          <c:yVal>
            <c:numRef>
              <c:f>'def2-TZVP'!$H$19:$H$26</c:f>
              <c:numCache>
                <c:formatCode>0.000</c:formatCode>
                <c:ptCount val="8"/>
                <c:pt idx="0">
                  <c:v>0.678561059799627</c:v>
                </c:pt>
                <c:pt idx="1">
                  <c:v>2.8142792925845832</c:v>
                </c:pt>
                <c:pt idx="2">
                  <c:v>11.191440628571501</c:v>
                </c:pt>
                <c:pt idx="3">
                  <c:v>26.465850257143426</c:v>
                </c:pt>
                <c:pt idx="4">
                  <c:v>56.467788808073287</c:v>
                </c:pt>
                <c:pt idx="5">
                  <c:v>159.32070629566599</c:v>
                </c:pt>
                <c:pt idx="6">
                  <c:v>286.43998233933263</c:v>
                </c:pt>
                <c:pt idx="7">
                  <c:v>562.47745553493883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FB-A34F-B03B-B554DEA2A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3240127"/>
        <c:axId val="343241855"/>
      </c:scatterChart>
      <c:valAx>
        <c:axId val="34324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No. of Basis Functions (</a:t>
                </a:r>
                <a:r>
                  <a:rPr lang="en-GB" i="1"/>
                  <a:t>Nbf</a:t>
                </a:r>
                <a:r>
                  <a:rPr lang="en-GB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1855"/>
        <c:crosses val="autoZero"/>
        <c:crossBetween val="midCat"/>
      </c:valAx>
      <c:valAx>
        <c:axId val="34324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Wall Time per Iteration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4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B6D7B7-DFA0-61C0-EFD8-CBEAD44EE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209550</xdr:colOff>
      <xdr:row>26</xdr:row>
      <xdr:rowOff>190500</xdr:rowOff>
    </xdr:from>
    <xdr:to>
      <xdr:col>9</xdr:col>
      <xdr:colOff>812800</xdr:colOff>
      <xdr:row>44</xdr:row>
      <xdr:rowOff>120650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5F7E02-0B00-0C81-DC95-941D931866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26</xdr:row>
      <xdr:rowOff>82550</xdr:rowOff>
    </xdr:from>
    <xdr:to>
      <xdr:col>4</xdr:col>
      <xdr:colOff>228600</xdr:colOff>
      <xdr:row>43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1A032-68FD-DE4E-8154-AC5775AF2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209550</xdr:colOff>
      <xdr:row>26</xdr:row>
      <xdr:rowOff>190500</xdr:rowOff>
    </xdr:from>
    <xdr:to>
      <xdr:col>9</xdr:col>
      <xdr:colOff>812800</xdr:colOff>
      <xdr:row>44</xdr:row>
      <xdr:rowOff>120650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1FA807-C249-8742-A772-42C4A13B5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A2DA-171B-7249-99BA-E5D7419364B8}">
  <dimension ref="A1:J26"/>
  <sheetViews>
    <sheetView topLeftCell="A10" workbookViewId="0">
      <selection activeCell="H19" sqref="H19:H26"/>
    </sheetView>
  </sheetViews>
  <sheetFormatPr baseColWidth="10" defaultRowHeight="16" x14ac:dyDescent="0.2"/>
  <cols>
    <col min="1" max="1" width="20" customWidth="1"/>
    <col min="2" max="2" width="22.1640625" customWidth="1"/>
    <col min="3" max="3" width="17.83203125" customWidth="1"/>
    <col min="5" max="5" width="23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7</v>
      </c>
    </row>
    <row r="3" spans="1:9" x14ac:dyDescent="0.2">
      <c r="A3" s="2" t="s">
        <v>10</v>
      </c>
    </row>
    <row r="4" spans="1:9" x14ac:dyDescent="0.2">
      <c r="A4" s="2" t="s">
        <v>1</v>
      </c>
    </row>
    <row r="6" spans="1:9" x14ac:dyDescent="0.2">
      <c r="A6" s="2" t="s">
        <v>2</v>
      </c>
      <c r="B6" s="2" t="s">
        <v>3</v>
      </c>
      <c r="C6" s="2" t="s">
        <v>4</v>
      </c>
      <c r="D6" s="2" t="s">
        <v>8</v>
      </c>
      <c r="E6" s="2" t="s">
        <v>9</v>
      </c>
      <c r="F6" s="2" t="s">
        <v>6</v>
      </c>
      <c r="G6" s="2" t="s">
        <v>5</v>
      </c>
      <c r="H6" s="2"/>
      <c r="I6" s="2"/>
    </row>
    <row r="7" spans="1:9" x14ac:dyDescent="0.2">
      <c r="A7">
        <v>5</v>
      </c>
      <c r="B7">
        <v>120</v>
      </c>
      <c r="C7" s="1">
        <v>3.46481050900183</v>
      </c>
      <c r="D7" s="3">
        <v>0.25</v>
      </c>
      <c r="E7" s="1">
        <f t="shared" ref="E7:E14" si="0">C7-D7</f>
        <v>3.21481050900183</v>
      </c>
      <c r="F7" s="1">
        <v>10</v>
      </c>
      <c r="G7">
        <f>E7/F7</f>
        <v>0.32148105090018297</v>
      </c>
    </row>
    <row r="8" spans="1:9" x14ac:dyDescent="0.2">
      <c r="A8">
        <v>10</v>
      </c>
      <c r="B8">
        <v>240</v>
      </c>
      <c r="C8" s="1">
        <v>16.036005578003799</v>
      </c>
      <c r="D8" s="3">
        <v>0.83</v>
      </c>
      <c r="E8" s="1">
        <f t="shared" si="0"/>
        <v>15.206005578003799</v>
      </c>
      <c r="F8" s="1">
        <v>12</v>
      </c>
      <c r="G8">
        <f t="shared" ref="G8:G14" si="1">E8/F8</f>
        <v>1.2671671315003166</v>
      </c>
    </row>
    <row r="9" spans="1:9" x14ac:dyDescent="0.2">
      <c r="A9">
        <v>20</v>
      </c>
      <c r="B9">
        <v>480</v>
      </c>
      <c r="C9" s="1">
        <v>75.564415230008294</v>
      </c>
      <c r="D9" s="3">
        <v>3.34</v>
      </c>
      <c r="E9" s="1">
        <f t="shared" si="0"/>
        <v>72.22441523000829</v>
      </c>
      <c r="F9" s="1">
        <v>15</v>
      </c>
      <c r="G9">
        <f t="shared" si="1"/>
        <v>4.8149610153338864</v>
      </c>
    </row>
    <row r="10" spans="1:9" x14ac:dyDescent="0.2">
      <c r="A10">
        <v>32</v>
      </c>
      <c r="B10">
        <v>768</v>
      </c>
      <c r="C10" s="1">
        <v>185.093209467013</v>
      </c>
      <c r="D10" s="3">
        <v>9.19</v>
      </c>
      <c r="E10" s="1">
        <f t="shared" si="0"/>
        <v>175.903209467013</v>
      </c>
      <c r="F10" s="1">
        <v>15</v>
      </c>
      <c r="G10">
        <f t="shared" si="1"/>
        <v>11.7268806311342</v>
      </c>
    </row>
    <row r="11" spans="1:9" x14ac:dyDescent="0.2">
      <c r="A11">
        <v>47</v>
      </c>
      <c r="B11">
        <v>1128</v>
      </c>
      <c r="C11" s="1">
        <v>383.57993331502001</v>
      </c>
      <c r="D11" s="3">
        <v>22.52</v>
      </c>
      <c r="E11" s="1">
        <f>C11-D11</f>
        <v>361.05993331502003</v>
      </c>
      <c r="F11" s="1">
        <v>15</v>
      </c>
      <c r="G11">
        <f t="shared" si="1"/>
        <v>24.070662221001335</v>
      </c>
    </row>
    <row r="12" spans="1:9" x14ac:dyDescent="0.2">
      <c r="A12">
        <v>76</v>
      </c>
      <c r="B12">
        <v>1824</v>
      </c>
      <c r="C12" s="1">
        <v>1018.329558144</v>
      </c>
      <c r="D12" s="3">
        <v>79.13</v>
      </c>
      <c r="E12" s="1">
        <f t="shared" si="0"/>
        <v>939.19955814399998</v>
      </c>
      <c r="F12" s="1">
        <v>15</v>
      </c>
      <c r="G12">
        <f t="shared" si="1"/>
        <v>62.613303876266663</v>
      </c>
    </row>
    <row r="13" spans="1:9" x14ac:dyDescent="0.2">
      <c r="A13">
        <v>100</v>
      </c>
      <c r="B13">
        <v>2400</v>
      </c>
      <c r="C13" s="1">
        <v>2269.11304578199</v>
      </c>
      <c r="D13" s="3">
        <v>167.72</v>
      </c>
      <c r="E13" s="1">
        <f t="shared" si="0"/>
        <v>2101.3930457819902</v>
      </c>
      <c r="F13" s="1">
        <v>18</v>
      </c>
      <c r="G13">
        <f t="shared" si="1"/>
        <v>116.74405809899946</v>
      </c>
    </row>
    <row r="14" spans="1:9" x14ac:dyDescent="0.2">
      <c r="A14">
        <v>139</v>
      </c>
      <c r="B14">
        <v>3336</v>
      </c>
      <c r="C14" s="1">
        <v>3856.7203670029899</v>
      </c>
      <c r="D14" s="3">
        <v>424.55</v>
      </c>
      <c r="E14" s="1">
        <f t="shared" si="0"/>
        <v>3432.1703670029897</v>
      </c>
      <c r="F14" s="1">
        <v>15</v>
      </c>
      <c r="G14">
        <f t="shared" si="1"/>
        <v>228.81135780019932</v>
      </c>
    </row>
    <row r="18" spans="1:10" x14ac:dyDescent="0.2">
      <c r="A18" s="2" t="s">
        <v>2</v>
      </c>
      <c r="B18" s="2" t="s">
        <v>5</v>
      </c>
      <c r="C18" s="2"/>
      <c r="D18" s="2"/>
      <c r="G18" s="2" t="s">
        <v>3</v>
      </c>
      <c r="H18" s="2" t="s">
        <v>5</v>
      </c>
      <c r="I18" s="2"/>
      <c r="J18" s="2"/>
    </row>
    <row r="19" spans="1:10" x14ac:dyDescent="0.2">
      <c r="A19">
        <v>5</v>
      </c>
      <c r="B19" s="4">
        <v>0.32148105090018297</v>
      </c>
      <c r="G19">
        <v>120</v>
      </c>
      <c r="H19" s="4">
        <v>0.32148105090018297</v>
      </c>
    </row>
    <row r="20" spans="1:10" x14ac:dyDescent="0.2">
      <c r="A20">
        <v>10</v>
      </c>
      <c r="B20" s="4">
        <v>1.2671671315003166</v>
      </c>
      <c r="G20">
        <v>240</v>
      </c>
      <c r="H20" s="4">
        <v>1.2671671315003166</v>
      </c>
    </row>
    <row r="21" spans="1:10" x14ac:dyDescent="0.2">
      <c r="A21">
        <v>20</v>
      </c>
      <c r="B21" s="4">
        <v>4.8149610153338864</v>
      </c>
      <c r="G21">
        <v>480</v>
      </c>
      <c r="H21" s="4">
        <v>4.8149610153338864</v>
      </c>
    </row>
    <row r="22" spans="1:10" x14ac:dyDescent="0.2">
      <c r="A22">
        <v>32</v>
      </c>
      <c r="B22" s="4">
        <v>11.7268806311342</v>
      </c>
      <c r="G22">
        <v>768</v>
      </c>
      <c r="H22" s="4">
        <v>11.7268806311342</v>
      </c>
    </row>
    <row r="23" spans="1:10" x14ac:dyDescent="0.2">
      <c r="A23">
        <v>47</v>
      </c>
      <c r="B23" s="4">
        <v>24.070662221001335</v>
      </c>
      <c r="G23">
        <v>1128</v>
      </c>
      <c r="H23" s="4">
        <v>24.070662221001335</v>
      </c>
    </row>
    <row r="24" spans="1:10" x14ac:dyDescent="0.2">
      <c r="A24">
        <v>76</v>
      </c>
      <c r="B24" s="4">
        <v>62.613303876266663</v>
      </c>
      <c r="G24">
        <v>1824</v>
      </c>
      <c r="H24" s="4">
        <v>62.613303876266663</v>
      </c>
    </row>
    <row r="25" spans="1:10" x14ac:dyDescent="0.2">
      <c r="A25">
        <v>100</v>
      </c>
      <c r="B25" s="4">
        <v>116.74405809899946</v>
      </c>
      <c r="G25">
        <v>2400</v>
      </c>
      <c r="H25" s="4">
        <v>116.74405809899946</v>
      </c>
    </row>
    <row r="26" spans="1:10" x14ac:dyDescent="0.2">
      <c r="A26">
        <v>139</v>
      </c>
      <c r="B26" s="4">
        <v>228.81135780019932</v>
      </c>
      <c r="G26">
        <v>3336</v>
      </c>
      <c r="H26" s="4">
        <v>228.81135780019932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A6A4-0832-B24C-8394-DC1CA58CAEAB}">
  <dimension ref="A1:J26"/>
  <sheetViews>
    <sheetView tabSelected="1" topLeftCell="A3" workbookViewId="0">
      <selection activeCell="G10" sqref="G10"/>
    </sheetView>
  </sheetViews>
  <sheetFormatPr baseColWidth="10" defaultRowHeight="16" x14ac:dyDescent="0.2"/>
  <cols>
    <col min="1" max="1" width="20" customWidth="1"/>
    <col min="2" max="2" width="22.1640625" customWidth="1"/>
    <col min="3" max="3" width="17.83203125" customWidth="1"/>
    <col min="5" max="5" width="23.83203125" customWidth="1"/>
    <col min="7" max="7" width="23.6640625" customWidth="1"/>
    <col min="8" max="8" width="14.83203125" customWidth="1"/>
  </cols>
  <sheetData>
    <row r="1" spans="1:9" x14ac:dyDescent="0.2">
      <c r="A1" s="2" t="s">
        <v>0</v>
      </c>
    </row>
    <row r="2" spans="1:9" x14ac:dyDescent="0.2">
      <c r="A2" s="2" t="s">
        <v>7</v>
      </c>
    </row>
    <row r="3" spans="1:9" x14ac:dyDescent="0.2">
      <c r="A3" s="2" t="s">
        <v>10</v>
      </c>
    </row>
    <row r="4" spans="1:9" x14ac:dyDescent="0.2">
      <c r="A4" s="2" t="s">
        <v>1</v>
      </c>
    </row>
    <row r="6" spans="1:9" x14ac:dyDescent="0.2">
      <c r="A6" s="2" t="s">
        <v>2</v>
      </c>
      <c r="B6" s="2" t="s">
        <v>3</v>
      </c>
      <c r="C6" s="2" t="s">
        <v>4</v>
      </c>
      <c r="D6" s="2" t="s">
        <v>8</v>
      </c>
      <c r="E6" s="2" t="s">
        <v>9</v>
      </c>
      <c r="F6" s="2" t="s">
        <v>6</v>
      </c>
      <c r="G6" s="2" t="s">
        <v>5</v>
      </c>
      <c r="H6" s="2"/>
      <c r="I6" s="2"/>
    </row>
    <row r="7" spans="1:9" x14ac:dyDescent="0.2">
      <c r="A7">
        <v>5</v>
      </c>
      <c r="B7">
        <v>215</v>
      </c>
      <c r="C7" s="1">
        <v>7.0756105979962696</v>
      </c>
      <c r="D7" s="3">
        <v>0.28999999999999998</v>
      </c>
      <c r="E7" s="1">
        <f t="shared" ref="E7:E14" si="0">C7-D7</f>
        <v>6.7856105979962695</v>
      </c>
      <c r="F7" s="1">
        <v>10</v>
      </c>
      <c r="G7">
        <f>E7/F7</f>
        <v>0.678561059799627</v>
      </c>
    </row>
    <row r="8" spans="1:9" x14ac:dyDescent="0.2">
      <c r="A8">
        <v>10</v>
      </c>
      <c r="B8">
        <v>430</v>
      </c>
      <c r="C8" s="1">
        <v>35.341351511014999</v>
      </c>
      <c r="D8" s="3">
        <v>1.57</v>
      </c>
      <c r="E8" s="1">
        <f t="shared" si="0"/>
        <v>33.771351511014998</v>
      </c>
      <c r="F8" s="1">
        <v>12</v>
      </c>
      <c r="G8">
        <f t="shared" ref="G8:G14" si="1">E8/F8</f>
        <v>2.8142792925845832</v>
      </c>
    </row>
    <row r="9" spans="1:9" x14ac:dyDescent="0.2">
      <c r="A9">
        <v>20</v>
      </c>
      <c r="B9">
        <v>860</v>
      </c>
      <c r="C9" s="1">
        <v>162.59016880000101</v>
      </c>
      <c r="D9" s="3">
        <v>5.91</v>
      </c>
      <c r="E9" s="1">
        <f t="shared" si="0"/>
        <v>156.68016880000101</v>
      </c>
      <c r="F9" s="1">
        <v>14</v>
      </c>
      <c r="G9">
        <f t="shared" si="1"/>
        <v>11.191440628571501</v>
      </c>
    </row>
    <row r="10" spans="1:9" x14ac:dyDescent="0.2">
      <c r="A10">
        <v>32</v>
      </c>
      <c r="B10">
        <v>1376</v>
      </c>
      <c r="C10" s="1">
        <v>384.571903600008</v>
      </c>
      <c r="D10" s="3">
        <v>14.05</v>
      </c>
      <c r="E10" s="1">
        <f t="shared" si="0"/>
        <v>370.52190360000799</v>
      </c>
      <c r="F10" s="1">
        <v>14</v>
      </c>
      <c r="G10">
        <f t="shared" si="1"/>
        <v>26.465850257143426</v>
      </c>
    </row>
    <row r="11" spans="1:9" x14ac:dyDescent="0.2">
      <c r="A11">
        <v>47</v>
      </c>
      <c r="B11">
        <v>2021</v>
      </c>
      <c r="C11" s="1">
        <v>822.83904331302597</v>
      </c>
      <c r="D11" s="3">
        <v>32.29</v>
      </c>
      <c r="E11" s="1">
        <f>C11-D11</f>
        <v>790.549043313026</v>
      </c>
      <c r="F11" s="1">
        <v>14</v>
      </c>
      <c r="G11">
        <f t="shared" si="1"/>
        <v>56.467788808073287</v>
      </c>
    </row>
    <row r="12" spans="1:9" x14ac:dyDescent="0.2">
      <c r="A12">
        <v>76</v>
      </c>
      <c r="B12">
        <v>3268</v>
      </c>
      <c r="C12" s="1">
        <v>2497.8405944349902</v>
      </c>
      <c r="D12" s="3">
        <v>108.03</v>
      </c>
      <c r="E12" s="1">
        <f t="shared" si="0"/>
        <v>2389.81059443499</v>
      </c>
      <c r="F12" s="1">
        <v>15</v>
      </c>
      <c r="G12">
        <f t="shared" si="1"/>
        <v>159.32070629566599</v>
      </c>
    </row>
    <row r="13" spans="1:9" x14ac:dyDescent="0.2">
      <c r="A13">
        <v>100</v>
      </c>
      <c r="B13">
        <v>4300</v>
      </c>
      <c r="C13" s="1">
        <v>4501.7397350899901</v>
      </c>
      <c r="D13" s="3">
        <v>205.14</v>
      </c>
      <c r="E13" s="1">
        <f t="shared" si="0"/>
        <v>4296.5997350899897</v>
      </c>
      <c r="F13" s="1">
        <v>15</v>
      </c>
      <c r="G13">
        <f t="shared" si="1"/>
        <v>286.43998233933263</v>
      </c>
    </row>
    <row r="14" spans="1:9" x14ac:dyDescent="0.2">
      <c r="A14">
        <v>139</v>
      </c>
      <c r="B14">
        <v>5977</v>
      </c>
      <c r="C14" s="1">
        <v>9501.4392885590205</v>
      </c>
      <c r="D14" s="3">
        <v>501.8</v>
      </c>
      <c r="E14" s="1">
        <f t="shared" si="0"/>
        <v>8999.6392885590212</v>
      </c>
      <c r="F14" s="1">
        <v>16</v>
      </c>
      <c r="G14">
        <f t="shared" si="1"/>
        <v>562.47745553493883</v>
      </c>
    </row>
    <row r="18" spans="1:10" x14ac:dyDescent="0.2">
      <c r="A18" s="2" t="s">
        <v>2</v>
      </c>
      <c r="B18" s="2" t="s">
        <v>5</v>
      </c>
      <c r="C18" s="2"/>
      <c r="D18" s="2"/>
      <c r="G18" s="2" t="s">
        <v>3</v>
      </c>
      <c r="H18" s="2" t="s">
        <v>5</v>
      </c>
      <c r="I18" s="2"/>
      <c r="J18" s="2"/>
    </row>
    <row r="19" spans="1:10" x14ac:dyDescent="0.2">
      <c r="A19">
        <v>5</v>
      </c>
      <c r="B19" s="4">
        <v>0.678561059799627</v>
      </c>
      <c r="G19">
        <v>215</v>
      </c>
      <c r="H19" s="4">
        <v>0.678561059799627</v>
      </c>
    </row>
    <row r="20" spans="1:10" x14ac:dyDescent="0.2">
      <c r="A20">
        <v>10</v>
      </c>
      <c r="B20" s="4">
        <v>2.8142792925845832</v>
      </c>
      <c r="G20">
        <v>430</v>
      </c>
      <c r="H20" s="4">
        <v>2.8142792925845832</v>
      </c>
    </row>
    <row r="21" spans="1:10" x14ac:dyDescent="0.2">
      <c r="A21">
        <v>20</v>
      </c>
      <c r="B21" s="4">
        <v>11.191440628571501</v>
      </c>
      <c r="G21">
        <v>860</v>
      </c>
      <c r="H21" s="4">
        <v>11.191440628571501</v>
      </c>
    </row>
    <row r="22" spans="1:10" x14ac:dyDescent="0.2">
      <c r="A22">
        <v>32</v>
      </c>
      <c r="B22" s="4">
        <v>26.465850257143426</v>
      </c>
      <c r="G22">
        <v>1376</v>
      </c>
      <c r="H22" s="4">
        <v>26.465850257143426</v>
      </c>
    </row>
    <row r="23" spans="1:10" x14ac:dyDescent="0.2">
      <c r="A23">
        <v>47</v>
      </c>
      <c r="B23" s="4">
        <v>56.467788808073287</v>
      </c>
      <c r="G23">
        <v>2021</v>
      </c>
      <c r="H23" s="4">
        <v>56.467788808073287</v>
      </c>
    </row>
    <row r="24" spans="1:10" x14ac:dyDescent="0.2">
      <c r="A24">
        <v>76</v>
      </c>
      <c r="B24" s="4">
        <v>159.32070629566599</v>
      </c>
      <c r="G24">
        <v>3268</v>
      </c>
      <c r="H24" s="4">
        <v>159.32070629566599</v>
      </c>
    </row>
    <row r="25" spans="1:10" x14ac:dyDescent="0.2">
      <c r="A25">
        <v>100</v>
      </c>
      <c r="B25" s="4">
        <v>286.43998233933263</v>
      </c>
      <c r="G25">
        <v>4300</v>
      </c>
      <c r="H25" s="4">
        <v>286.43998233933263</v>
      </c>
    </row>
    <row r="26" spans="1:10" x14ac:dyDescent="0.2">
      <c r="A26">
        <v>139</v>
      </c>
      <c r="B26" s="4">
        <v>562.47745553493883</v>
      </c>
      <c r="G26">
        <v>5977</v>
      </c>
      <c r="H26" s="4">
        <v>562.47745553493883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def2-SVP</vt:lpstr>
      <vt:lpstr>def2-TZVP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2025-08-12T12:34:35Z</dcterms:created>
  <dcterms:modified xsi:type="dcterms:W3CDTF">2026-04-30T09:26:32Z</dcterms:modified>
</cp:coreProperties>
</file>