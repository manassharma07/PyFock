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72aeb6430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8561bb099df4917"/>
    <x:sheet xmlns:r="http://schemas.openxmlformats.org/officeDocument/2006/relationships" name="Paired Runs" sheetId="2" r:id="R5e2c8baf05134bb2"/>
    <x:sheet xmlns:r="http://schemas.openxmlformats.org/officeDocument/2006/relationships" name="Per Iteration" sheetId="3" r:id="R223f55730795419d"/>
    <x:sheet xmlns:r="http://schemas.openxmlformats.org/officeDocument/2006/relationships" name="Raw Data" sheetId="4" r:id="Rf981920549324d0d"/>
    <x:sheet xmlns:r="http://schemas.openxmlformats.org/officeDocument/2006/relationships" name="Setup &amp; Versions" sheetId="5" r:id="R29e9e46c76a042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000000000000"/>
    <x:numFmt numFmtId="201" formatCode="0"/>
    <x:numFmt numFmtId="202" formatCode="0.00"/>
    <x:numFmt numFmtId="203" formatCode="#,##0"/>
    <x:numFmt numFmtId="204" formatCode="0.00E+00"/>
    <x:numFmt numFmtId="205" formatCode="0.0%"/>
    <x:numFmt numFmtId="206" formatCode="0.00&quot;x&quot;"/>
    <x:numFmt numFmtId="207" formatCode="0.000"/>
    <x:numFmt numFmtId="208" formatCode="0.0"/>
    <x:numFmt numFmtId="209" formatCode="yyyy-mm-dd hh:mm:ss"/>
  </x:numFmts>
  <x:fonts count="11">
    <x:font>
      <x:sz val="11"/>
      <x:name val="Carlito"/>
    </x:font>
    <x:font>
      <x:b/>
      <x:sz val="20"/>
      <x:color rgb="FFFFFFFF"/>
      <x:name val="Aptos Display"/>
    </x:font>
    <x:font>
      <x:sz val="10"/>
      <x:color rgb="FF4B5563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22"/>
      <x:color rgb="FF14866D"/>
      <x:name val="Aptos Display"/>
    </x:font>
    <x:font>
      <x:b/>
      <x:sz val="22"/>
      <x:color rgb="FFD97706"/>
      <x:name val="Aptos Display"/>
    </x:font>
    <x:font>
      <x:b/>
      <x:sz val="22"/>
      <x:color rgb="FF0F6CBD"/>
      <x:name val="Aptos Display"/>
    </x:font>
    <x:font>
      <x:i/>
      <x:sz val="9"/>
      <x:color rgb="FF4B5563"/>
      <x:name val="Aptos"/>
    </x:font>
    <x:font>
      <x:b/>
      <x:sz val="11"/>
      <x:color rgb="FFFFFFFF"/>
      <x:name val="Aptos"/>
    </x:font>
    <x:font>
      <x:b/>
      <x:sz val="10"/>
      <x:color rgb="FF1F29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DEAF5"/>
      </x:patternFill>
    </x:fill>
    <x:fill>
      <x:patternFill patternType="solid">
        <x:fgColor rgb="FFE8F1FB"/>
      </x:patternFill>
    </x:fill>
    <x:fill>
      <x:patternFill patternType="solid">
        <x:fgColor rgb="FFE7F5F0"/>
      </x:patternFill>
    </x:fill>
    <x:fill>
      <x:patternFill patternType="solid">
        <x:fgColor rgb="FFFFF3E0"/>
      </x:patternFill>
    </x:fill>
    <x:fill>
      <x:patternFill patternType="solid">
        <x:fgColor rgb="FFF3F4F6"/>
      </x:patternFill>
    </x:fill>
  </x:fills>
  <x:borders count="13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2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200" fontId="4" fillId="4" borderId="4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200" fontId="4" fillId="4" borderId="5" xfId="0" applyNumberFormat="1" applyFont="1" applyFill="1" applyBorder="1" applyAlignment="1">
      <x:alignment vertical="center"/>
    </x:xf>
    <x:xf numFmtId="200" fontId="4" fillId="5" borderId="6" xfId="0" applyNumberFormat="1" applyFont="1" applyFill="1" applyBorder="1" applyAlignment="1">
      <x:alignment vertical="center"/>
    </x:xf>
    <x:xf numFmtId="201" fontId="4" fillId="4" borderId="4" xfId="0" applyNumberFormat="1" applyFont="1" applyFill="1" applyBorder="1" applyAlignment="1">
      <x:alignment vertical="center"/>
    </x:xf>
    <x:xf numFmtId="201" fontId="4" fillId="5" borderId="5" xfId="0" applyNumberFormat="1" applyFont="1" applyFill="1" applyBorder="1" applyAlignment="1">
      <x:alignment vertical="center"/>
    </x:xf>
    <x:xf numFmtId="201" fontId="4" fillId="4" borderId="5" xfId="0" applyNumberFormat="1" applyFont="1" applyFill="1" applyBorder="1" applyAlignment="1">
      <x:alignment vertical="center"/>
    </x:xf>
    <x:xf numFmtId="201" fontId="4" fillId="5" borderId="6" xfId="0" applyNumberFormat="1" applyFont="1" applyFill="1" applyBorder="1" applyAlignment="1">
      <x:alignment vertical="center"/>
    </x:xf>
    <x:xf numFmtId="202" fontId="4" fillId="4" borderId="4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5" borderId="5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4" borderId="5" xfId="0" applyNumberFormat="1" applyFont="1" applyFill="1" applyBorder="1" applyAlignment="1">
      <x:alignment vertical="center"/>
    </x:xf>
    <x:xf numFmtId="202" fontId="4" fillId="5" borderId="6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200" fontId="4" fillId="5" borderId="4" xfId="0" applyNumberFormat="1" applyFont="1" applyFill="1" applyBorder="1" applyAlignment="1">
      <x:alignment vertical="center"/>
    </x:xf>
    <x:xf numFmtId="200" fontId="4" fillId="4" borderId="6" xfId="0" applyNumberFormat="1" applyFont="1" applyFill="1" applyBorder="1" applyAlignment="1">
      <x:alignment vertical="center"/>
    </x:xf>
    <x:xf numFmtId="204" fontId="4" fillId="0" borderId="4" xfId="0" applyNumberFormat="1" applyFont="1" applyFill="1" applyBorder="1" applyAlignment="1">
      <x:alignment vertical="center"/>
    </x:xf>
    <x:xf numFmtId="204" fontId="4" fillId="0" borderId="5" xfId="0" applyNumberFormat="1" applyFont="1" applyFill="1" applyBorder="1" applyAlignment="1">
      <x:alignment vertical="center"/>
    </x:xf>
    <x:xf numFmtId="204" fontId="4" fillId="0" borderId="6" xfId="0" applyNumberFormat="1" applyFont="1" applyFill="1" applyBorder="1" applyAlignment="1">
      <x:alignment vertical="center"/>
    </x:xf>
    <x:xf numFmtId="201" fontId="4" fillId="5" borderId="4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4" borderId="6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2" fontId="4" fillId="5" borderId="4" xfId="0" applyNumberFormat="1" applyFont="1" applyFill="1" applyBorder="1" applyAlignment="1">
      <x:alignment vertical="center"/>
    </x:xf>
    <x:xf numFmtId="202" fontId="4" fillId="4" borderId="6" xfId="0" applyNumberFormat="1" applyFont="1" applyFill="1" applyBorder="1" applyAlignment="1">
      <x:alignment vertical="center"/>
    </x:xf>
    <x:xf numFmtId="205" fontId="4" fillId="0" borderId="4" xfId="0" applyNumberFormat="1" applyFont="1" applyFill="1" applyBorder="1" applyAlignment="1">
      <x:alignment vertical="center"/>
    </x:xf>
    <x:xf numFmtId="205" fontId="4" fillId="0" borderId="5" xfId="0" applyNumberFormat="1" applyFont="1" applyFill="1" applyBorder="1" applyAlignment="1">
      <x:alignment vertical="center"/>
    </x:xf>
    <x:xf numFmtId="205" fontId="4" fillId="0" borderId="6" xfId="0" applyNumberFormat="1" applyFont="1" applyFill="1" applyBorder="1" applyAlignment="1">
      <x:alignment vertical="center"/>
    </x:xf>
    <x:xf numFmtId="206" fontId="4" fillId="0" borderId="4" xfId="0" applyNumberFormat="1" applyFont="1" applyFill="1" applyBorder="1" applyAlignment="1">
      <x:alignment vertical="center"/>
    </x:xf>
    <x:xf numFmtId="206" fontId="4" fillId="0" borderId="5" xfId="0" applyNumberFormat="1" applyFont="1" applyFill="1" applyBorder="1" applyAlignment="1">
      <x:alignment vertical="center"/>
    </x:xf>
    <x:xf numFmtId="206" fontId="4" fillId="0" borderId="6" xfId="0" applyNumberFormat="1" applyFont="1" applyFill="1" applyBorder="1" applyAlignment="1">
      <x:alignment vertical="center"/>
    </x:xf>
    <x:xf numFmtId="202" fontId="4" fillId="6" borderId="4" xfId="0" applyNumberFormat="1" applyFont="1" applyFill="1" applyBorder="1" applyAlignment="1">
      <x:alignment vertical="center"/>
    </x:xf>
    <x:xf numFmtId="205" fontId="4" fillId="6" borderId="4" xfId="0" applyNumberFormat="1" applyFont="1" applyFill="1" applyBorder="1" applyAlignment="1">
      <x:alignment vertical="center"/>
    </x:xf>
    <x:xf numFmtId="206" fontId="4" fillId="6" borderId="4" xfId="0" applyNumberFormat="1" applyFont="1" applyFill="1" applyBorder="1" applyAlignment="1">
      <x:alignment vertical="center"/>
    </x:xf>
    <x:xf numFmtId="202" fontId="4" fillId="6" borderId="5" xfId="0" applyNumberFormat="1" applyFont="1" applyFill="1" applyBorder="1" applyAlignment="1">
      <x:alignment vertical="center"/>
    </x:xf>
    <x:xf numFmtId="205" fontId="4" fillId="6" borderId="5" xfId="0" applyNumberFormat="1" applyFont="1" applyFill="1" applyBorder="1" applyAlignment="1">
      <x:alignment vertical="center"/>
    </x:xf>
    <x:xf numFmtId="206" fontId="4" fillId="6" borderId="5" xfId="0" applyNumberFormat="1" applyFont="1" applyFill="1" applyBorder="1" applyAlignment="1">
      <x:alignment vertical="center"/>
    </x:xf>
    <x:xf numFmtId="202" fontId="4" fillId="6" borderId="6" xfId="0" applyNumberFormat="1" applyFont="1" applyFill="1" applyBorder="1" applyAlignment="1">
      <x:alignment vertical="center"/>
    </x:xf>
    <x:xf numFmtId="205" fontId="4" fillId="6" borderId="6" xfId="0" applyNumberFormat="1" applyFont="1" applyFill="1" applyBorder="1" applyAlignment="1">
      <x:alignment vertical="center"/>
    </x:xf>
    <x:xf numFmtId="206" fontId="4" fillId="6" borderId="6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207" fontId="4" fillId="4" borderId="4" xfId="0" applyNumberFormat="1" applyFont="1" applyFill="1" applyBorder="1" applyAlignment="1">
      <x:alignment vertical="center"/>
    </x:xf>
    <x:xf numFmtId="207" fontId="4" fillId="5" borderId="4" xfId="0" applyNumberFormat="1" applyFont="1" applyFill="1" applyBorder="1" applyAlignment="1">
      <x:alignment vertical="center"/>
    </x:xf>
    <x:xf numFmtId="207" fontId="4" fillId="6" borderId="4" xfId="0" applyNumberFormat="1" applyFont="1" applyFill="1" applyBorder="1" applyAlignment="1">
      <x:alignment vertical="center"/>
    </x:xf>
    <x:xf numFmtId="207" fontId="4" fillId="4" borderId="5" xfId="0" applyNumberFormat="1" applyFont="1" applyFill="1" applyBorder="1" applyAlignment="1">
      <x:alignment vertical="center"/>
    </x:xf>
    <x:xf numFmtId="207" fontId="4" fillId="5" borderId="5" xfId="0" applyNumberFormat="1" applyFont="1" applyFill="1" applyBorder="1" applyAlignment="1">
      <x:alignment vertical="center"/>
    </x:xf>
    <x:xf numFmtId="207" fontId="4" fillId="6" borderId="5" xfId="0" applyNumberFormat="1" applyFont="1" applyFill="1" applyBorder="1" applyAlignment="1">
      <x:alignment vertical="center"/>
    </x:xf>
    <x:xf numFmtId="207" fontId="4" fillId="4" borderId="6" xfId="0" applyNumberFormat="1" applyFont="1" applyFill="1" applyBorder="1" applyAlignment="1">
      <x:alignment vertical="center"/>
    </x:xf>
    <x:xf numFmtId="207" fontId="4" fillId="5" borderId="6" xfId="0" applyNumberFormat="1" applyFont="1" applyFill="1" applyBorder="1" applyAlignment="1">
      <x:alignment vertical="center"/>
    </x:xf>
    <x:xf numFmtId="207" fontId="4" fillId="6" borderId="6" xfId="0" applyNumberFormat="1" applyFont="1" applyFill="1" applyBorder="1" applyAlignment="1">
      <x:alignment vertical="center"/>
    </x:xf>
    <x:xf numFmtId="206" fontId="4" fillId="5" borderId="4" xfId="0" applyNumberFormat="1" applyFont="1" applyFill="1" applyBorder="1" applyAlignment="1">
      <x:alignment vertical="center"/>
    </x:xf>
    <x:xf numFmtId="206" fontId="4" fillId="5" borderId="5" xfId="0" applyNumberFormat="1" applyFont="1" applyFill="1" applyBorder="1" applyAlignment="1">
      <x:alignment vertical="center"/>
    </x:xf>
    <x:xf numFmtId="206" fontId="4" fillId="5" borderId="6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7" xfId="0" applyNumberFormat="1" applyFont="1" applyFill="1" applyBorder="1" applyAlignment="1">
      <x:alignment horizontal="center"/>
    </x:xf>
    <x:xf numFmtId="0" fontId="5" fillId="5" borderId="8" xfId="0" applyNumberFormat="1" applyFont="1" applyFill="1" applyBorder="1" applyAlignment="1">
      <x:alignment horizontal="center"/>
    </x:xf>
    <x:xf numFmtId="0" fontId="5" fillId="5" borderId="9" xfId="0" applyNumberFormat="1" applyFont="1" applyFill="1" applyBorder="1" applyAlignment="1">
      <x:alignment horizontal="center"/>
    </x:xf>
    <x:xf numFmtId="0" fontId="5" fillId="5" borderId="10" xfId="0" applyNumberFormat="1" applyFont="1" applyFill="1" applyBorder="1" applyAlignment="1">
      <x:alignment horizontal="center"/>
    </x:xf>
    <x:xf numFmtId="0" fontId="5" fillId="5" borderId="11" xfId="0" applyNumberFormat="1" applyFont="1" applyFill="1" applyBorder="1" applyAlignment="1">
      <x:alignment horizontal="center"/>
    </x:xf>
    <x:xf numFmtId="0" fontId="5" fillId="5" borderId="12" xfId="0" applyNumberFormat="1" applyFont="1" applyFill="1" applyBorder="1" applyAlignment="1">
      <x:alignment horizont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5" fillId="5" borderId="10" xfId="0" applyNumberFormat="1" applyFont="1" applyFill="1" applyBorder="1" applyAlignment="1">
      <x:alignment horizontal="center" vertical="center"/>
    </x:xf>
    <x:xf numFmtId="0" fontId="5" fillId="5" borderId="11" xfId="0" applyNumberFormat="1" applyFont="1" applyFill="1" applyBorder="1" applyAlignment="1">
      <x:alignment horizontal="center" vertical="center"/>
    </x:xf>
    <x:xf numFmtId="0" fontId="5" fillId="5" borderId="12" xfId="0" applyNumberFormat="1" applyFont="1" applyFill="1" applyBorder="1" applyAlignment="1">
      <x:alignment horizontal="center" vertical="center"/>
    </x:xf>
    <x:xf numFmtId="206" fontId="5" fillId="5" borderId="7" xfId="0" applyNumberFormat="1" applyFont="1" applyFill="1" applyBorder="1" applyAlignment="1">
      <x:alignment horizontal="center" vertical="center"/>
    </x:xf>
    <x:xf numFmtId="206" fontId="5" fillId="5" borderId="8" xfId="0" applyNumberFormat="1" applyFont="1" applyFill="1" applyBorder="1" applyAlignment="1">
      <x:alignment horizontal="center" vertical="center"/>
    </x:xf>
    <x:xf numFmtId="206" fontId="5" fillId="5" borderId="9" xfId="0" applyNumberFormat="1" applyFont="1" applyFill="1" applyBorder="1" applyAlignment="1">
      <x:alignment horizontal="center" vertical="center"/>
    </x:xf>
    <x:xf numFmtId="206" fontId="5" fillId="5" borderId="10" xfId="0" applyNumberFormat="1" applyFont="1" applyFill="1" applyBorder="1" applyAlignment="1">
      <x:alignment horizontal="center" vertical="center"/>
    </x:xf>
    <x:xf numFmtId="206" fontId="5" fillId="5" borderId="11" xfId="0" applyNumberFormat="1" applyFont="1" applyFill="1" applyBorder="1" applyAlignment="1">
      <x:alignment horizontal="center" vertical="center"/>
    </x:xf>
    <x:xf numFmtId="206" fontId="5" fillId="5" borderId="12" xfId="0" applyNumberFormat="1" applyFont="1" applyFill="1" applyBorder="1" applyAlignment="1">
      <x:alignment horizontal="center" vertical="center"/>
    </x:xf>
    <x:xf numFmtId="205" fontId="5" fillId="5" borderId="7" xfId="0" applyNumberFormat="1" applyFont="1" applyFill="1" applyBorder="1" applyAlignment="1">
      <x:alignment horizontal="center" vertical="center"/>
    </x:xf>
    <x:xf numFmtId="205" fontId="5" fillId="5" borderId="8" xfId="0" applyNumberFormat="1" applyFont="1" applyFill="1" applyBorder="1" applyAlignment="1">
      <x:alignment horizontal="center" vertical="center"/>
    </x:xf>
    <x:xf numFmtId="205" fontId="5" fillId="5" borderId="9" xfId="0" applyNumberFormat="1" applyFont="1" applyFill="1" applyBorder="1" applyAlignment="1">
      <x:alignment horizontal="center" vertical="center"/>
    </x:xf>
    <x:xf numFmtId="205" fontId="5" fillId="5" borderId="10" xfId="0" applyNumberFormat="1" applyFont="1" applyFill="1" applyBorder="1" applyAlignment="1">
      <x:alignment horizontal="center" vertical="center"/>
    </x:xf>
    <x:xf numFmtId="205" fontId="5" fillId="5" borderId="11" xfId="0" applyNumberFormat="1" applyFont="1" applyFill="1" applyBorder="1" applyAlignment="1">
      <x:alignment horizontal="center" vertical="center"/>
    </x:xf>
    <x:xf numFmtId="205" fontId="5" fillId="5" borderId="1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7" xfId="0" applyNumberFormat="1" applyFont="1" applyFill="1" applyBorder="1" applyAlignment="1">
      <x:alignment horizontal="center"/>
    </x:xf>
    <x:xf numFmtId="0" fontId="6" fillId="6" borderId="8" xfId="0" applyNumberFormat="1" applyFont="1" applyFill="1" applyBorder="1" applyAlignment="1">
      <x:alignment horizontal="center"/>
    </x:xf>
    <x:xf numFmtId="0" fontId="6" fillId="6" borderId="9" xfId="0" applyNumberFormat="1" applyFont="1" applyFill="1" applyBorder="1" applyAlignment="1">
      <x:alignment horizontal="center"/>
    </x:xf>
    <x:xf numFmtId="0" fontId="6" fillId="6" borderId="10" xfId="0" applyNumberFormat="1" applyFont="1" applyFill="1" applyBorder="1" applyAlignment="1">
      <x:alignment horizontal="center"/>
    </x:xf>
    <x:xf numFmtId="0" fontId="6" fillId="6" borderId="11" xfId="0" applyNumberFormat="1" applyFont="1" applyFill="1" applyBorder="1" applyAlignment="1">
      <x:alignment horizontal="center"/>
    </x:xf>
    <x:xf numFmtId="0" fontId="6" fillId="6" borderId="12" xfId="0" applyNumberFormat="1" applyFont="1" applyFill="1" applyBorder="1" applyAlignment="1">
      <x:alignment horizontal="center"/>
    </x:xf>
    <x:xf numFmtId="0" fontId="6" fillId="6" borderId="7" xfId="0" applyNumberFormat="1" applyFont="1" applyFill="1" applyBorder="1" applyAlignment="1">
      <x:alignment horizontal="center" vertical="center"/>
    </x:xf>
    <x:xf numFmtId="0" fontId="6" fillId="6" borderId="8" xfId="0" applyNumberFormat="1" applyFont="1" applyFill="1" applyBorder="1" applyAlignment="1">
      <x:alignment horizontal="center" vertical="center"/>
    </x:xf>
    <x:xf numFmtId="0" fontId="6" fillId="6" borderId="9" xfId="0" applyNumberFormat="1" applyFont="1" applyFill="1" applyBorder="1" applyAlignment="1">
      <x:alignment horizontal="center" vertical="center"/>
    </x:xf>
    <x:xf numFmtId="0" fontId="6" fillId="6" borderId="10" xfId="0" applyNumberFormat="1" applyFont="1" applyFill="1" applyBorder="1" applyAlignment="1">
      <x:alignment horizontal="center" vertical="center"/>
    </x:xf>
    <x:xf numFmtId="0" fontId="6" fillId="6" borderId="11" xfId="0" applyNumberFormat="1" applyFont="1" applyFill="1" applyBorder="1" applyAlignment="1">
      <x:alignment horizontal="center" vertical="center"/>
    </x:xf>
    <x:xf numFmtId="0" fontId="6" fillId="6" borderId="12" xfId="0" applyNumberFormat="1" applyFont="1" applyFill="1" applyBorder="1" applyAlignment="1">
      <x:alignment horizontal="center" vertical="center"/>
    </x:xf>
    <x:xf numFmtId="205" fontId="6" fillId="6" borderId="7" xfId="0" applyNumberFormat="1" applyFont="1" applyFill="1" applyBorder="1" applyAlignment="1">
      <x:alignment horizontal="center" vertical="center"/>
    </x:xf>
    <x:xf numFmtId="205" fontId="6" fillId="6" borderId="8" xfId="0" applyNumberFormat="1" applyFont="1" applyFill="1" applyBorder="1" applyAlignment="1">
      <x:alignment horizontal="center" vertical="center"/>
    </x:xf>
    <x:xf numFmtId="205" fontId="6" fillId="6" borderId="9" xfId="0" applyNumberFormat="1" applyFont="1" applyFill="1" applyBorder="1" applyAlignment="1">
      <x:alignment horizontal="center" vertical="center"/>
    </x:xf>
    <x:xf numFmtId="205" fontId="6" fillId="6" borderId="10" xfId="0" applyNumberFormat="1" applyFont="1" applyFill="1" applyBorder="1" applyAlignment="1">
      <x:alignment horizontal="center" vertical="center"/>
    </x:xf>
    <x:xf numFmtId="205" fontId="6" fillId="6" borderId="11" xfId="0" applyNumberFormat="1" applyFont="1" applyFill="1" applyBorder="1" applyAlignment="1">
      <x:alignment horizontal="center" vertical="center"/>
    </x:xf>
    <x:xf numFmtId="205" fontId="6" fillId="6" borderId="12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7" xfId="0" applyNumberFormat="1" applyFont="1" applyFill="1" applyBorder="1"/>
    <x:xf numFmtId="0" fontId="7" fillId="4" borderId="8" xfId="0" applyNumberFormat="1" applyFont="1" applyFill="1" applyBorder="1"/>
    <x:xf numFmtId="0" fontId="7" fillId="4" borderId="9" xfId="0" applyNumberFormat="1" applyFont="1" applyFill="1" applyBorder="1"/>
    <x:xf numFmtId="0" fontId="7" fillId="4" borderId="10" xfId="0" applyNumberFormat="1" applyFont="1" applyFill="1" applyBorder="1"/>
    <x:xf numFmtId="0" fontId="7" fillId="4" borderId="11" xfId="0" applyNumberFormat="1" applyFont="1" applyFill="1" applyBorder="1"/>
    <x:xf numFmtId="0" fontId="7" fillId="4" borderId="12" xfId="0" applyNumberFormat="1" applyFont="1" applyFill="1" applyBorder="1"/>
    <x:xf numFmtId="0" fontId="7" fillId="4" borderId="7" xfId="0" applyNumberFormat="1" applyFont="1" applyFill="1" applyBorder="1" applyAlignment="1">
      <x:alignment horizontal="center"/>
    </x:xf>
    <x:xf numFmtId="0" fontId="7" fillId="4" borderId="8" xfId="0" applyNumberFormat="1" applyFont="1" applyFill="1" applyBorder="1" applyAlignment="1">
      <x:alignment horizontal="center"/>
    </x:xf>
    <x:xf numFmtId="0" fontId="7" fillId="4" borderId="9" xfId="0" applyNumberFormat="1" applyFont="1" applyFill="1" applyBorder="1" applyAlignment="1">
      <x:alignment horizontal="center"/>
    </x:xf>
    <x:xf numFmtId="0" fontId="7" fillId="4" borderId="10" xfId="0" applyNumberFormat="1" applyFont="1" applyFill="1" applyBorder="1" applyAlignment="1">
      <x:alignment horizontal="center"/>
    </x:xf>
    <x:xf numFmtId="0" fontId="7" fillId="4" borderId="11" xfId="0" applyNumberFormat="1" applyFont="1" applyFill="1" applyBorder="1" applyAlignment="1">
      <x:alignment horizontal="center"/>
    </x:xf>
    <x:xf numFmtId="0" fontId="7" fillId="4" borderId="12" xfId="0" applyNumberFormat="1" applyFont="1" applyFill="1" applyBorder="1" applyAlignment="1">
      <x:alignment horizontal="center"/>
    </x:xf>
    <x:xf numFmtId="0" fontId="7" fillId="4" borderId="7" xfId="0" applyNumberFormat="1" applyFont="1" applyFill="1" applyBorder="1" applyAlignment="1">
      <x:alignment horizontal="center" vertical="center"/>
    </x:xf>
    <x:xf numFmtId="0" fontId="7" fillId="4" borderId="8" xfId="0" applyNumberFormat="1" applyFont="1" applyFill="1" applyBorder="1" applyAlignment="1">
      <x:alignment horizontal="center" vertical="center"/>
    </x:xf>
    <x:xf numFmtId="0" fontId="7" fillId="4" borderId="9" xfId="0" applyNumberFormat="1" applyFont="1" applyFill="1" applyBorder="1" applyAlignment="1">
      <x:alignment horizontal="center" vertical="center"/>
    </x:xf>
    <x:xf numFmtId="0" fontId="7" fillId="4" borderId="10" xfId="0" applyNumberFormat="1" applyFont="1" applyFill="1" applyBorder="1" applyAlignment="1">
      <x:alignment horizontal="center" vertical="center"/>
    </x:xf>
    <x:xf numFmtId="0" fontId="7" fillId="4" borderId="11" xfId="0" applyNumberFormat="1" applyFont="1" applyFill="1" applyBorder="1" applyAlignment="1">
      <x:alignment horizontal="center" vertical="center"/>
    </x:xf>
    <x:xf numFmtId="0" fontId="7" fillId="4" borderId="12" xfId="0" applyNumberFormat="1" applyFont="1" applyFill="1" applyBorder="1" applyAlignment="1">
      <x:alignment horizontal="center" vertical="center"/>
    </x:xf>
    <x:xf numFmtId="204" fontId="7" fillId="4" borderId="7" xfId="0" applyNumberFormat="1" applyFont="1" applyFill="1" applyBorder="1" applyAlignment="1">
      <x:alignment horizontal="center" vertical="center"/>
    </x:xf>
    <x:xf numFmtId="204" fontId="7" fillId="4" borderId="8" xfId="0" applyNumberFormat="1" applyFont="1" applyFill="1" applyBorder="1" applyAlignment="1">
      <x:alignment horizontal="center" vertical="center"/>
    </x:xf>
    <x:xf numFmtId="204" fontId="7" fillId="4" borderId="9" xfId="0" applyNumberFormat="1" applyFont="1" applyFill="1" applyBorder="1" applyAlignment="1">
      <x:alignment horizontal="center" vertical="center"/>
    </x:xf>
    <x:xf numFmtId="204" fontId="7" fillId="4" borderId="10" xfId="0" applyNumberFormat="1" applyFont="1" applyFill="1" applyBorder="1" applyAlignment="1">
      <x:alignment horizontal="center" vertical="center"/>
    </x:xf>
    <x:xf numFmtId="204" fontId="7" fillId="4" borderId="11" xfId="0" applyNumberFormat="1" applyFont="1" applyFill="1" applyBorder="1" applyAlignment="1">
      <x:alignment horizontal="center" vertical="center"/>
    </x:xf>
    <x:xf numFmtId="204" fontId="7" fillId="4" borderId="12" xfId="0" applyNumberFormat="1" applyFont="1" applyFill="1" applyBorder="1" applyAlignment="1">
      <x:alignment horizontal="center" vertical="center"/>
    </x:xf>
    <x:xf numFmtId="208" fontId="4" fillId="0" borderId="4" xfId="0" applyNumberFormat="1" applyFont="1" applyFill="1" applyBorder="1" applyAlignment="1">
      <x:alignment vertical="center"/>
    </x:xf>
    <x:xf numFmtId="208" fontId="4" fillId="0" borderId="5" xfId="0" applyNumberFormat="1" applyFont="1" applyFill="1" applyBorder="1" applyAlignment="1">
      <x:alignment vertical="center"/>
    </x:xf>
    <x:xf numFmtId="208" fontId="4" fillId="0" borderId="6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6" xfId="0" applyNumberFormat="1" applyFont="1" applyFill="1" applyBorder="1" applyAlignment="1">
      <x:alignment vertical="center" wrapText="1"/>
    </x:xf>
    <x:xf numFmtId="209" fontId="4" fillId="0" borderId="4" xfId="0" applyNumberFormat="1" applyFont="1" applyFill="1" applyBorder="1" applyAlignment="1">
      <x:alignment vertical="center" wrapText="1"/>
    </x:xf>
    <x:xf numFmtId="209" fontId="4" fillId="0" borderId="5" xfId="0" applyNumberFormat="1" applyFont="1" applyFill="1" applyBorder="1" applyAlignment="1">
      <x:alignment vertical="center" wrapText="1"/>
    </x:xf>
    <x:xf numFmtId="209" fontId="4" fillId="0" borderId="6" xfId="0" applyNumberFormat="1" applyFont="1" applyFill="1" applyBorder="1" applyAlignment="1">
      <x:alignment vertical="center" wrapText="1"/>
    </x:xf>
    <x:xf numFmtId="202" fontId="4" fillId="0" borderId="4" xfId="0" applyNumberFormat="1" applyFont="1" applyFill="1" applyBorder="1" applyAlignment="1">
      <x:alignment vertical="center" wrapText="1"/>
    </x:xf>
    <x:xf numFmtId="202" fontId="4" fillId="0" borderId="5" xfId="0" applyNumberFormat="1" applyFont="1" applyFill="1" applyBorder="1" applyAlignment="1">
      <x:alignment vertical="center" wrapText="1"/>
    </x:xf>
    <x:xf numFmtId="202" fontId="4" fillId="0" borderId="6" xfId="0" applyNumberFormat="1" applyFont="1" applyFill="1" applyBorder="1" applyAlignment="1">
      <x:alignment vertical="center" wrapText="1"/>
    </x:xf>
    <x:xf numFmtId="0" fontId="10" fillId="0" borderId="4" xfId="0" applyNumberFormat="1" applyFont="1" applyFill="1" applyBorder="1" applyAlignment="1">
      <x:alignment vertical="center"/>
    </x:xf>
    <x:xf numFmtId="0" fontId="10" fillId="0" borderId="5" xfId="0" applyNumberFormat="1" applyFont="1" applyFill="1" applyBorder="1" applyAlignment="1">
      <x:alignment vertical="center"/>
    </x:xf>
    <x:xf numFmtId="0" fontId="10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dfd234e3e74905" /><Relationship Type="http://schemas.openxmlformats.org/officeDocument/2006/relationships/theme" Target="/xl/theme/theme1.xml" Id="Rc30fbd569110455d" /><Relationship Type="http://schemas.microsoft.com/office/2022/11/relationships/FeaturePropertyBag" Target="/xl/featurePropertyBag/featurePropertyBag.xml" Id="R571d2dc974a84674" /><Relationship Type="http://schemas.openxmlformats.org/officeDocument/2006/relationships/sharedStrings" Target="/xl/sharedStrings.xml" Id="Rdadbbd420a7e42e5" /><Relationship Type="http://schemas.openxmlformats.org/officeDocument/2006/relationships/worksheet" Target="/xl/worksheets/sheet1.xml" Id="R48561bb099df4917" /><Relationship Type="http://schemas.openxmlformats.org/officeDocument/2006/relationships/worksheet" Target="/xl/worksheets/sheet2.xml" Id="R5e2c8baf05134bb2" /><Relationship Type="http://schemas.openxmlformats.org/officeDocument/2006/relationships/worksheet" Target="/xl/worksheets/sheet3.xml" Id="R223f55730795419d" /><Relationship Type="http://schemas.openxmlformats.org/officeDocument/2006/relationships/worksheet" Target="/xl/worksheets/sheet4.xml" Id="Rf981920549324d0d" /><Relationship Type="http://schemas.openxmlformats.org/officeDocument/2006/relationships/worksheet" Target="/xl/worksheets/sheet5.xml" Id="R29e9e46c76a042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ecb3995a9f419a" /><Relationship Type="http://schemas.openxmlformats.org/officeDocument/2006/relationships/chart" Target="/xl/drawings/charts/chart2.xml" Id="R12c99085616e41b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Mean XC time: baseline vs dynamic precision (s)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Baseline</c:v>
          </c:tx>
          <c:spPr>
            <a:solidFill xmlns:a="http://schemas.openxmlformats.org/drawingml/2006/main">
              <a:srgbClr val="0F6CBD"/>
            </a:solidFill>
          </c:spPr>
          <c:cat>
            <c:strRef>
              <c:f>'Dashboard'!$A$10:$A$13</c:f>
              <c:strCache>
                <c:ptCount val="0"/>
              </c:strCache>
            </c:strRef>
          </c:cat>
          <c:val>
            <c:numRef>
              <c:f>'Dashboard'!$C$10:$C$13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Dynamic precision</c:v>
          </c:tx>
          <c:spPr>
            <a:solidFill xmlns:a="http://schemas.openxmlformats.org/drawingml/2006/main">
              <a:srgbClr val="14866D"/>
            </a:solidFill>
          </c:spPr>
          <c:cat>
            <c:strRef>
              <c:f>'Dashboard'!$A$10:$A$13</c:f>
              <c:strCache>
                <c:ptCount val="0"/>
              </c:strCache>
            </c:strRef>
          </c:cat>
          <c:val>
            <c:numRef>
              <c:f>'Dashboard'!$D$10:$D$13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Mean XC time reduction by system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XC reduction</c:v>
          </c:tx>
          <c:spPr>
            <a:solidFill xmlns:a="http://schemas.openxmlformats.org/drawingml/2006/main">
              <a:srgbClr val="D97706"/>
            </a:solidFill>
          </c:spPr>
          <c:cat>
            <c:strRef>
              <c:f>'Dashboard'!$A$10:$A$13</c:f>
              <c:strCache>
                <c:ptCount val="0"/>
              </c:strCache>
            </c:strRef>
          </c:cat>
          <c:val>
            <c:numRef>
              <c:f>'Dashboard'!$F$10:$F$13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0.6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ecb3995a9f419a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15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c99085616e41b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af006d34b4544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8" hidden="0" customWidth="1"/>
    <x:col min="5" max="5" width="13" hidden="0" customWidth="1"/>
    <x:col min="6" max="6" width="14" hidden="0" customWidth="1"/>
    <x:col min="7" max="7" width="13" hidden="0" customWidth="1"/>
    <x:col min="8" max="8" width="16" hidden="0" customWidth="1"/>
    <x:col min="9" max="9" width="19" hidden="0" customWidth="1"/>
    <x:col min="10" max="10" width="14" hidden="0" customWidth="1"/>
    <x:col min="11" max="11" width="15" hidden="0" customWidth="1"/>
    <x:col min="12" max="12" width="18" hidden="0" customWidth="1"/>
    <x:col min="13" max="13" width="16" hidden="0" customWidth="1"/>
    <x:col min="14" max="14" width="18" hidden="0" customWidth="1"/>
    <x:col min="15" max="15" width="19" hidden="0" customWidth="1"/>
  </x:cols>
  <x:sheetData>
    <x:row r="1" ht="34" customHeight="1">
      <x:c r="A1" s="3" t="str">
        <x:v>PyFock dynamic-precision benchmark — P100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7" t="str">
        <x:v>Three paired Kaggle runs for water_10, water_20, water_32, and water_47. Timing summaries are means across the three runs; pooled KPIs sum all twelve paired calculations.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>
      <x:c r="A4" s="98" t="str">
        <x:v>Pooled effective XC speedup</x:v>
      </x:c>
      <x:c r="B4" s="98"/>
      <x:c r="C4" s="98"/>
      <x:c r="E4" s="98" t="str">
        <x:v>Pooled XC reduction</x:v>
      </x:c>
      <x:c r="F4" s="98"/>
      <x:c r="G4" s="98"/>
      <x:c r="I4" s="98" t="str">
        <x:v>Pooled total-time reduction</x:v>
      </x:c>
      <x:c r="J4" s="98"/>
      <x:c r="K4" s="98"/>
      <x:c r="M4" s="98" t="str">
        <x:v>Max |Δ energy| (Ha)</x:v>
      </x:c>
      <x:c r="N4" s="98"/>
      <x:c r="O4" s="98"/>
    </x:row>
    <x:row r="5">
      <x:c r="A5" s="119" t="n">
        <x:f>SUM('Paired Runs'!N5:N16)/SUM('Paired Runs'!O5:O16)</x:f>
        <x:v>1.4115269893197342</x:v>
      </x:c>
      <x:c r="B5" s="120"/>
      <x:c r="C5" s="121"/>
      <x:c r="E5" s="125" t="n">
        <x:f>1-SUM('Paired Runs'!O5:O16)/SUM('Paired Runs'!N5:N16)</x:f>
        <x:v>0.29154737559645527</x:v>
      </x:c>
      <x:c r="F5" s="126"/>
      <x:c r="G5" s="127"/>
      <x:c r="I5" s="151" t="n">
        <x:f>1-SUM('Paired Runs'!J5:J16)/SUM('Paired Runs'!I5:I16)</x:f>
        <x:v>0.08551766114939818</x:v>
      </x:c>
      <x:c r="J5" s="152"/>
      <x:c r="K5" s="153"/>
      <x:c r="M5" s="177" t="n">
        <x:f>MAX(ABS('Paired Runs'!E5),ABS('Paired Runs'!E6),ABS('Paired Runs'!E7),ABS('Paired Runs'!E8),ABS('Paired Runs'!E9),ABS('Paired Runs'!E10),ABS('Paired Runs'!E11),ABS('Paired Runs'!E12),ABS('Paired Runs'!E13),ABS('Paired Runs'!E14),ABS('Paired Runs'!E15),ABS('Paired Runs'!E16))</x:f>
        <x:v>1.2866667020716704e-7</x:v>
      </x:c>
      <x:c r="N5" s="178"/>
      <x:c r="O5" s="179"/>
    </x:row>
    <x:row r="6">
      <x:c r="A6" s="122"/>
      <x:c r="B6" s="123"/>
      <x:c r="C6" s="124"/>
      <x:c r="E6" s="128"/>
      <x:c r="F6" s="129"/>
      <x:c r="G6" s="130"/>
      <x:c r="I6" s="154"/>
      <x:c r="J6" s="155"/>
      <x:c r="K6" s="156"/>
      <x:c r="M6" s="180"/>
      <x:c r="N6" s="181"/>
      <x:c r="O6" s="182"/>
    </x:row>
    <x:row r="9" ht="32" customHeight="1">
      <x:c r="A9" s="18" t="str">
        <x:v>System</x:v>
      </x:c>
      <x:c r="B9" s="19" t="str">
        <x:v>Grid points</x:v>
      </x:c>
      <x:c r="C9" s="19" t="str">
        <x:v>Mean XC Off (s)</x:v>
      </x:c>
      <x:c r="D9" s="19" t="str">
        <x:v>Mean XC Dynamic (s)</x:v>
      </x:c>
      <x:c r="E9" s="19" t="str">
        <x:v>XC saved (s)</x:v>
      </x:c>
      <x:c r="F9" s="19" t="str">
        <x:v>XC reduction</x:v>
      </x:c>
      <x:c r="G9" s="19" t="str">
        <x:v>Effective XC speedup</x:v>
      </x:c>
      <x:c r="H9" s="19" t="str">
        <x:v>Mean total Off (s)</x:v>
      </x:c>
      <x:c r="I9" s="19" t="str">
        <x:v>Mean total Dynamic (s)</x:v>
      </x:c>
      <x:c r="J9" s="19" t="str">
        <x:v>Total saved (s)</x:v>
      </x:c>
      <x:c r="K9" s="19" t="str">
        <x:v>Total reduction</x:v>
      </x:c>
      <x:c r="L9" s="19" t="str">
        <x:v>Max |Δ energy| (Ha)</x:v>
      </x:c>
      <x:c r="M9" s="19" t="str">
        <x:v>Mean SCF iters Off</x:v>
      </x:c>
      <x:c r="N9" s="19" t="str">
        <x:v>Mean SCF iters Dynamic</x:v>
      </x:c>
      <x:c r="O9" s="20" t="str">
        <x:v>Switch to double (iteration)</x:v>
      </x:c>
    </x:row>
    <x:row r="10">
      <x:c r="A10" s="25" t="str">
        <x:v>water_10</x:v>
      </x:c>
      <x:c r="B10" s="47" t="n">
        <x:f>AVERAGE('Paired Runs'!$T$5,'Paired Runs'!$T$9,'Paired Runs'!$T$13)</x:f>
        <x:v>290210</x:v>
      </x:c>
      <x:c r="C10" s="40" t="n">
        <x:f>AVERAGE('Paired Runs'!$N$5,'Paired Runs'!$N$9,'Paired Runs'!$N$13)</x:f>
        <x:v>3.4499999999999997</x:v>
      </x:c>
      <x:c r="D10" s="65" t="n">
        <x:f>AVERAGE('Paired Runs'!$O$5,'Paired Runs'!$O$9,'Paired Runs'!$O$13)</x:f>
        <x:v>3.276666666666667</x:v>
      </x:c>
      <x:c r="E10" s="73" t="n">
        <x:f>C10-D10</x:f>
        <x:v>0.1733333333333329</x:v>
      </x:c>
      <x:c r="F10" s="74" t="n">
        <x:f>E10/C10</x:f>
        <x:v>0.05024154589371969</x:v>
      </x:c>
      <x:c r="G10" s="75" t="n">
        <x:f>C10/D10</x:f>
        <x:v>1.0528992878942014</x:v>
      </x:c>
      <x:c r="H10" s="73" t="n">
        <x:f>AVERAGE('Paired Runs'!$I$5,'Paired Runs'!$I$9,'Paired Runs'!$I$13)</x:f>
        <x:v>10.46</x:v>
      </x:c>
      <x:c r="I10" s="73" t="n">
        <x:f>AVERAGE('Paired Runs'!$J$5,'Paired Runs'!$J$9,'Paired Runs'!$J$13)</x:f>
        <x:v>10.173333333333334</x:v>
      </x:c>
      <x:c r="J10" s="73" t="n">
        <x:f>H10-I10</x:f>
        <x:v>0.28666666666666707</x:v>
      </x:c>
      <x:c r="K10" s="74" t="n">
        <x:f>J10/H10</x:f>
        <x:v>0.027405991077119222</x:v>
      </x:c>
      <x:c r="L10" s="57" t="n">
        <x:f>MAX(ABS('Paired Runs'!$E$5),ABS('Paired Runs'!$E$9),ABS('Paired Runs'!$E$13))</x:f>
        <x:v>5.839865480083972e-9</x:v>
      </x:c>
      <x:c r="M10" s="183" t="n">
        <x:f>AVERAGE('Paired Runs'!$F$5,'Paired Runs'!$F$9,'Paired Runs'!$F$13)</x:f>
        <x:v>22</x:v>
      </x:c>
      <x:c r="N10" s="183" t="n">
        <x:f>AVERAGE('Paired Runs'!$G$5,'Paired Runs'!$G$9,'Paired Runs'!$G$13)</x:f>
        <x:v>24</x:v>
      </x:c>
      <x:c r="O10" s="183" t="n">
        <x:f>AVERAGE('Paired Runs'!$S$5,'Paired Runs'!$S$9,'Paired Runs'!$S$13)</x:f>
        <x:v>17</x:v>
      </x:c>
    </x:row>
    <x:row r="11">
      <x:c r="A11" s="26" t="str">
        <x:v>water_20</x:v>
      </x:c>
      <x:c r="B11" s="48" t="n">
        <x:f>AVERAGE('Paired Runs'!$T$6,'Paired Runs'!$T$10,'Paired Runs'!$T$14)</x:f>
        <x:v>560702</x:v>
      </x:c>
      <x:c r="C11" s="44" t="n">
        <x:f>AVERAGE('Paired Runs'!$N$6,'Paired Runs'!$N$10,'Paired Runs'!$N$14)</x:f>
        <x:v>9.363333333333335</x:v>
      </x:c>
      <x:c r="D11" s="42" t="n">
        <x:f>AVERAGE('Paired Runs'!$O$6,'Paired Runs'!$O$10,'Paired Runs'!$O$14)</x:f>
        <x:v>8.409999999999998</x:v>
      </x:c>
      <x:c r="E11" s="76" t="n">
        <x:f>C11-D11</x:f>
        <x:v>0.9533333333333367</x:v>
      </x:c>
      <x:c r="F11" s="77" t="n">
        <x:f>E11/C11</x:f>
        <x:v>0.10181559273762938</x:v>
      </x:c>
      <x:c r="G11" s="78" t="n">
        <x:f>C11/D11</x:f>
        <x:v>1.1133571145461756</x:v>
      </x:c>
      <x:c r="H11" s="76" t="n">
        <x:f>AVERAGE('Paired Runs'!$I$6,'Paired Runs'!$I$10,'Paired Runs'!$I$14)</x:f>
        <x:v>32.43</x:v>
      </x:c>
      <x:c r="I11" s="76" t="n">
        <x:f>AVERAGE('Paired Runs'!$J$6,'Paired Runs'!$J$10,'Paired Runs'!$J$14)</x:f>
        <x:v>31.040000000000003</x:v>
      </x:c>
      <x:c r="J11" s="76" t="n">
        <x:f>H11-I11</x:f>
        <x:v>1.389999999999997</x:v>
      </x:c>
      <x:c r="K11" s="77" t="n">
        <x:f>J11/H11</x:f>
        <x:v>0.04286154794942945</x:v>
      </x:c>
      <x:c r="L11" s="58" t="n">
        <x:f>MAX(ABS('Paired Runs'!$E$6),ABS('Paired Runs'!$E$10),ABS('Paired Runs'!$E$14))</x:f>
        <x:v>1.2866667020716704e-7</x:v>
      </x:c>
      <x:c r="M11" s="184" t="n">
        <x:f>AVERAGE('Paired Runs'!$F$6,'Paired Runs'!$F$10,'Paired Runs'!$F$14)</x:f>
        <x:v>21</x:v>
      </x:c>
      <x:c r="N11" s="184" t="n">
        <x:f>AVERAGE('Paired Runs'!$G$6,'Paired Runs'!$G$10,'Paired Runs'!$G$14)</x:f>
        <x:v>24</x:v>
      </x:c>
      <x:c r="O11" s="184" t="n">
        <x:f>AVERAGE('Paired Runs'!$S$6,'Paired Runs'!$S$10,'Paired Runs'!$S$14)</x:f>
        <x:v>17</x:v>
      </x:c>
    </x:row>
    <x:row r="12">
      <x:c r="A12" s="26" t="str">
        <x:v>water_32</x:v>
      </x:c>
      <x:c r="B12" s="48" t="n">
        <x:f>AVERAGE('Paired Runs'!$T$7,'Paired Runs'!$T$11,'Paired Runs'!$T$15)</x:f>
        <x:v>884616</x:v>
      </x:c>
      <x:c r="C12" s="44" t="n">
        <x:f>AVERAGE('Paired Runs'!$N$7,'Paired Runs'!$N$11,'Paired Runs'!$N$15)</x:f>
        <x:v>30.153333333333336</x:v>
      </x:c>
      <x:c r="D12" s="42" t="n">
        <x:f>AVERAGE('Paired Runs'!$O$7,'Paired Runs'!$O$11,'Paired Runs'!$O$15)</x:f>
        <x:v>21.893333333333334</x:v>
      </x:c>
      <x:c r="E12" s="76" t="n">
        <x:f>C12-D12</x:f>
        <x:v>8.260000000000002</x:v>
      </x:c>
      <x:c r="F12" s="77" t="n">
        <x:f>E12/C12</x:f>
        <x:v>0.27393323015697546</x:v>
      </x:c>
      <x:c r="G12" s="78" t="n">
        <x:f>C12/D12</x:f>
        <x:v>1.3772838002436054</x:v>
      </x:c>
      <x:c r="H12" s="76" t="n">
        <x:f>AVERAGE('Paired Runs'!$I$7,'Paired Runs'!$I$11,'Paired Runs'!$I$15)</x:f>
        <x:v>93.83999999999999</x:v>
      </x:c>
      <x:c r="I12" s="76" t="n">
        <x:f>AVERAGE('Paired Runs'!$J$7,'Paired Runs'!$J$11,'Paired Runs'!$J$15)</x:f>
        <x:v>83.46666666666667</x:v>
      </x:c>
      <x:c r="J12" s="76" t="n">
        <x:f>H12-I12</x:f>
        <x:v>10.37333333333332</x:v>
      </x:c>
      <x:c r="K12" s="77" t="n">
        <x:f>J12/H12</x:f>
        <x:v>0.11054276783177026</x:v>
      </x:c>
      <x:c r="L12" s="58" t="n">
        <x:f>MAX(ABS('Paired Runs'!$E$7),ABS('Paired Runs'!$E$11),ABS('Paired Runs'!$E$15))</x:f>
        <x:v>1.4782926882617176e-8</x:v>
      </x:c>
      <x:c r="M12" s="184" t="n">
        <x:f>AVERAGE('Paired Runs'!$F$7,'Paired Runs'!$F$11,'Paired Runs'!$F$15)</x:f>
        <x:v>34</x:v>
      </x:c>
      <x:c r="N12" s="184" t="n">
        <x:f>AVERAGE('Paired Runs'!$G$7,'Paired Runs'!$G$11,'Paired Runs'!$G$15)</x:f>
        <x:v>32</x:v>
      </x:c>
      <x:c r="O12" s="184" t="n">
        <x:f>AVERAGE('Paired Runs'!$S$7,'Paired Runs'!$S$11,'Paired Runs'!$S$15)</x:f>
        <x:v>22</x:v>
      </x:c>
    </x:row>
    <x:row r="13">
      <x:c r="A13" s="27" t="str">
        <x:v>water_47</x:v>
      </x:c>
      <x:c r="B13" s="49" t="n">
        <x:f>AVERAGE('Paired Runs'!$T$8,'Paired Runs'!$T$12,'Paired Runs'!$T$16)</x:f>
        <x:v>1287189</x:v>
      </x:c>
      <x:c r="C13" s="66" t="n">
        <x:f>AVERAGE('Paired Runs'!$N$8,'Paired Runs'!$N$12,'Paired Runs'!$N$16)</x:f>
        <x:v>54.833333333333336</x:v>
      </x:c>
      <x:c r="D13" s="45" t="n">
        <x:f>AVERAGE('Paired Runs'!$O$8,'Paired Runs'!$O$12,'Paired Runs'!$O$16)</x:f>
        <x:v>35.70666666666666</x:v>
      </x:c>
      <x:c r="E13" s="79" t="n">
        <x:f>C13-D13</x:f>
        <x:v>19.126666666666672</x:v>
      </x:c>
      <x:c r="F13" s="80" t="n">
        <x:f>E13/C13</x:f>
        <x:v>0.3488145896656536</x:v>
      </x:c>
      <x:c r="G13" s="81" t="n">
        <x:f>C13/D13</x:f>
        <x:v>1.5356609410007471</x:v>
      </x:c>
      <x:c r="H13" s="79" t="n">
        <x:f>AVERAGE('Paired Runs'!$I$8,'Paired Runs'!$I$12,'Paired Runs'!$I$16)</x:f>
        <x:v>202.80999999999997</x:v>
      </x:c>
      <x:c r="I13" s="79" t="n">
        <x:f>AVERAGE('Paired Runs'!$J$8,'Paired Runs'!$J$12,'Paired Runs'!$J$16)</x:f>
        <x:v>185.82333333333335</x:v>
      </x:c>
      <x:c r="J13" s="79" t="n">
        <x:f>H13-I13</x:f>
        <x:v>16.986666666666622</x:v>
      </x:c>
      <x:c r="K13" s="80" t="n">
        <x:f>J13/H13</x:f>
        <x:v>0.08375655375310204</x:v>
      </x:c>
      <x:c r="L13" s="59" t="n">
        <x:f>MAX(ABS('Paired Runs'!$E$8),ABS('Paired Runs'!$E$12),ABS('Paired Runs'!$E$16))</x:f>
        <x:v>9.827999747358263e-9</x:v>
      </x:c>
      <x:c r="M13" s="185" t="n">
        <x:f>AVERAGE('Paired Runs'!$F$8,'Paired Runs'!$F$12,'Paired Runs'!$F$16)</x:f>
        <x:v>27</x:v>
      </x:c>
      <x:c r="N13" s="185" t="n">
        <x:f>AVERAGE('Paired Runs'!$G$8,'Paired Runs'!$G$12,'Paired Runs'!$G$16)</x:f>
        <x:v>26</x:v>
      </x:c>
      <x:c r="O13" s="185" t="n">
        <x:f>AVERAGE('Paired Runs'!$S$8,'Paired Runs'!$S$12,'Paired Runs'!$S$16)</x:f>
        <x:v>19</x:v>
      </x:c>
    </x:row>
    <x:row r="14" ht="28" customHeight="1">
      <x:c r="A14" s="189" t="str">
        <x:v>Interpretation: timing gains grow with system size. Energy differences are final-energy differences between separately converged calculations, not fixed-density precision errors.</x:v>
      </x:c>
      <x:c r="B14" s="189"/>
      <x:c r="C14" s="189"/>
      <x:c r="D14" s="189"/>
      <x:c r="E14" s="189"/>
      <x:c r="F14" s="189"/>
      <x:c r="G14" s="189"/>
      <x:c r="H14" s="189"/>
      <x:c r="I14" s="189"/>
      <x:c r="J14" s="189"/>
      <x:c r="K14" s="189"/>
      <x:c r="L14" s="189"/>
      <x:c r="M14" s="189"/>
      <x:c r="N14" s="189"/>
      <x:c r="O14" s="189"/>
    </x:row>
    <x:row r="34">
      <x:c r="A34" s="191" t="str">
        <x:v>Per-iteration timing — means across 3 paired runs</x:v>
      </x:c>
      <x:c r="B34" s="191"/>
      <x:c r="C34" s="191"/>
      <x:c r="D34" s="191"/>
      <x:c r="E34" s="191"/>
      <x:c r="F34" s="191"/>
      <x:c r="G34" s="191"/>
      <x:c r="H34" s="191"/>
      <x:c r="I34" s="191"/>
      <x:c r="J34" s="191"/>
      <x:c r="K34" s="191"/>
      <x:c r="L34" s="191"/>
      <x:c r="M34" s="191"/>
      <x:c r="N34" s="191"/>
      <x:c r="O34" s="191"/>
    </x:row>
    <x:row r="35" ht="26" customHeight="1">
      <x:c r="A35" s="189" t="str">
        <x:v>Kernel XC speedup = (XC Off / iteration) ÷ (XC Dynamic / iteration). Effective XC speedup = kernel speedup ÷ (Dynamic iterations / Off iterations), so convergence-cycle differences are included.</x:v>
      </x:c>
      <x:c r="B35" s="189"/>
      <x:c r="C35" s="189"/>
      <x:c r="D35" s="189"/>
      <x:c r="E35" s="189"/>
      <x:c r="F35" s="189"/>
      <x:c r="G35" s="189"/>
      <x:c r="H35" s="189"/>
      <x:c r="I35" s="189"/>
      <x:c r="J35" s="189"/>
      <x:c r="K35" s="189"/>
      <x:c r="L35" s="189"/>
      <x:c r="M35" s="189"/>
      <x:c r="N35" s="189"/>
      <x:c r="O35" s="189"/>
    </x:row>
    <x:row r="37" ht="32" customHeight="1">
      <x:c r="A37" s="18" t="str">
        <x:v>System</x:v>
      </x:c>
      <x:c r="B37" s="19" t="str">
        <x:v>Mean total / iter Off (s)</x:v>
      </x:c>
      <x:c r="C37" s="19" t="str">
        <x:v>Mean total / iter Dynamic (s)</x:v>
      </x:c>
      <x:c r="D37" s="19" t="str">
        <x:v>Total / iter saved (s)</x:v>
      </x:c>
      <x:c r="E37" s="19" t="str">
        <x:v>Total / iter reduction</x:v>
      </x:c>
      <x:c r="F37" s="19" t="str">
        <x:v>Total / iter speedup</x:v>
      </x:c>
      <x:c r="G37" s="19" t="str">
        <x:v>Mean XC / iter Off (s)</x:v>
      </x:c>
      <x:c r="H37" s="19" t="str">
        <x:v>Mean XC / iter Dynamic (s)</x:v>
      </x:c>
      <x:c r="I37" s="19" t="str">
        <x:v>XC / iter saved (s)</x:v>
      </x:c>
      <x:c r="J37" s="19" t="str">
        <x:v>XC / iter reduction</x:v>
      </x:c>
      <x:c r="K37" s="19" t="str">
        <x:v>XC kernel speedup / iter</x:v>
      </x:c>
      <x:c r="L37" s="19" t="str">
        <x:v>Iteration-count factor</x:v>
      </x:c>
      <x:c r="M37" s="20" t="str">
        <x:v>Effective XC speedup</x:v>
      </x:c>
    </x:row>
    <x:row r="38">
      <x:c r="A38" s="25" t="str">
        <x:v>water_10</x:v>
      </x:c>
      <x:c r="B38" s="85" t="n">
        <x:f>AVERAGE('Per Iteration'!$E$5,'Per Iteration'!$E$9,'Per Iteration'!$E$13)</x:f>
        <x:v>0.4754545454545454</x:v>
      </x:c>
      <x:c r="C38" s="86" t="n">
        <x:f>AVERAGE('Per Iteration'!$F$5,'Per Iteration'!$F$9,'Per Iteration'!$F$13)</x:f>
        <x:v>0.4238888888888889</x:v>
      </x:c>
      <x:c r="D38" s="87" t="n">
        <x:f>B38-C38</x:f>
        <x:v>0.05156565656565648</x:v>
      </x:c>
      <x:c r="E38" s="74" t="n">
        <x:f>D38/B38</x:f>
        <x:v>0.10845549182069242</x:v>
      </x:c>
      <x:c r="F38" s="75" t="n">
        <x:f>B38/C38</x:f>
        <x:v>1.121648993208626</x:v>
      </x:c>
      <x:c r="G38" s="85" t="n">
        <x:f>AVERAGE('Per Iteration'!$J$5,'Per Iteration'!$J$9,'Per Iteration'!$J$13)</x:f>
        <x:v>0.15681818181818183</x:v>
      </x:c>
      <x:c r="H38" s="86" t="n">
        <x:f>AVERAGE('Per Iteration'!$K$5,'Per Iteration'!$K$9,'Per Iteration'!$K$13)</x:f>
        <x:v>0.13652777777777778</x:v>
      </x:c>
      <x:c r="I38" s="87" t="n">
        <x:f>G38-H38</x:f>
        <x:v>0.020290404040404053</x:v>
      </x:c>
      <x:c r="J38" s="74" t="n">
        <x:f>I38/G38</x:f>
        <x:v>0.1293880837359099</x:v>
      </x:c>
      <x:c r="K38" s="75" t="n">
        <x:f>G38/H38</x:f>
        <x:v>1.1486174049754925</x:v>
      </x:c>
      <x:c r="L38" s="94" t="n">
        <x:f>AVERAGE('Per Iteration'!$O$5,'Per Iteration'!$O$9,'Per Iteration'!$O$13)</x:f>
        <x:v>1.0909090909090908</x:v>
      </x:c>
      <x:c r="M38" s="94" t="n">
        <x:f>K38/L38</x:f>
        <x:v>1.0528992878942016</x:v>
      </x:c>
    </x:row>
    <x:row r="39">
      <x:c r="A39" s="26" t="str">
        <x:v>water_20</x:v>
      </x:c>
      <x:c r="B39" s="88" t="n">
        <x:f>AVERAGE('Per Iteration'!$E$6,'Per Iteration'!$E$10,'Per Iteration'!$E$14)</x:f>
        <x:v>1.5442857142857143</x:v>
      </x:c>
      <x:c r="C39" s="89" t="n">
        <x:f>AVERAGE('Per Iteration'!$F$6,'Per Iteration'!$F$10,'Per Iteration'!$F$14)</x:f>
        <x:v>1.2933333333333334</x:v>
      </x:c>
      <x:c r="D39" s="90" t="n">
        <x:f>B39-C39</x:f>
        <x:v>0.2509523809523808</x:v>
      </x:c>
      <x:c r="E39" s="77" t="n">
        <x:f>D39/B39</x:f>
        <x:v>0.16250385445575077</x:v>
      </x:c>
      <x:c r="F39" s="78" t="n">
        <x:f>B39/C39</x:f>
        <x:v>1.1940353460972017</x:v>
      </x:c>
      <x:c r="G39" s="88" t="n">
        <x:f>AVERAGE('Per Iteration'!$J$6,'Per Iteration'!$J$10,'Per Iteration'!$J$14)</x:f>
        <x:v>0.4458730158730159</x:v>
      </x:c>
      <x:c r="H39" s="89" t="n">
        <x:f>AVERAGE('Per Iteration'!$K$6,'Per Iteration'!$K$10,'Per Iteration'!$K$14)</x:f>
        <x:v>0.3504166666666666</x:v>
      </x:c>
      <x:c r="I39" s="90" t="n">
        <x:f>G39-H39</x:f>
        <x:v>0.09545634920634932</x:v>
      </x:c>
      <x:c r="J39" s="77" t="n">
        <x:f>I39/G39</x:f>
        <x:v>0.21408864364542565</x:v>
      </x:c>
      <x:c r="K39" s="78" t="n">
        <x:f>G39/H39</x:f>
        <x:v>1.272408130909915</x:v>
      </x:c>
      <x:c r="L39" s="95" t="n">
        <x:f>AVERAGE('Per Iteration'!$O$6,'Per Iteration'!$O$10,'Per Iteration'!$O$14)</x:f>
        <x:v>1.1428571428571428</x:v>
      </x:c>
      <x:c r="M39" s="95" t="n">
        <x:f>K39/L39</x:f>
        <x:v>1.1133571145461756</x:v>
      </x:c>
    </x:row>
    <x:row r="40">
      <x:c r="A40" s="26" t="str">
        <x:v>water_32</x:v>
      </x:c>
      <x:c r="B40" s="88" t="n">
        <x:f>AVERAGE('Per Iteration'!$E$7,'Per Iteration'!$E$11,'Per Iteration'!$E$15)</x:f>
        <x:v>2.76</x:v>
      </x:c>
      <x:c r="C40" s="89" t="n">
        <x:f>AVERAGE('Per Iteration'!$F$7,'Per Iteration'!$F$11,'Per Iteration'!$F$15)</x:f>
        <x:v>2.6083333333333334</x:v>
      </x:c>
      <x:c r="D40" s="90" t="n">
        <x:f>B40-C40</x:f>
        <x:v>0.1516666666666664</x:v>
      </x:c>
      <x:c r="E40" s="77" t="n">
        <x:f>D40/B40</x:f>
        <x:v>0.05495169082125594</x:v>
      </x:c>
      <x:c r="F40" s="78" t="n">
        <x:f>B40/C40</x:f>
        <x:v>1.0581469648562298</x:v>
      </x:c>
      <x:c r="G40" s="88" t="n">
        <x:f>AVERAGE('Per Iteration'!$J$7,'Per Iteration'!$J$11,'Per Iteration'!$J$15)</x:f>
        <x:v>0.8868627450980392</x:v>
      </x:c>
      <x:c r="H40" s="89" t="n">
        <x:f>AVERAGE('Per Iteration'!$K$7,'Per Iteration'!$K$11,'Per Iteration'!$K$15)</x:f>
        <x:v>0.6841666666666667</x:v>
      </x:c>
      <x:c r="I40" s="90" t="n">
        <x:f>G40-H40</x:f>
        <x:v>0.2026960784313725</x:v>
      </x:c>
      <x:c r="J40" s="77" t="n">
        <x:f>I40/G40</x:f>
        <x:v>0.22855405704178636</x:v>
      </x:c>
      <x:c r="K40" s="78" t="n">
        <x:f>G40/H40</x:f>
        <x:v>1.2962671061116284</x:v>
      </x:c>
      <x:c r="L40" s="95" t="n">
        <x:f>AVERAGE('Per Iteration'!$O$7,'Per Iteration'!$O$11,'Per Iteration'!$O$15)</x:f>
        <x:v>0.9411764705882352</x:v>
      </x:c>
      <x:c r="M40" s="95" t="n">
        <x:f>K40/L40</x:f>
        <x:v>1.3772838002436054</x:v>
      </x:c>
    </x:row>
    <x:row r="41">
      <x:c r="A41" s="27" t="str">
        <x:v>water_47</x:v>
      </x:c>
      <x:c r="B41" s="91" t="n">
        <x:f>AVERAGE('Per Iteration'!$E$8,'Per Iteration'!$E$12,'Per Iteration'!$E$16)</x:f>
        <x:v>7.511481481481482</x:v>
      </x:c>
      <x:c r="C41" s="92" t="n">
        <x:f>AVERAGE('Per Iteration'!$F$8,'Per Iteration'!$F$12,'Per Iteration'!$F$16)</x:f>
        <x:v>7.147051282051282</x:v>
      </x:c>
      <x:c r="D41" s="93" t="n">
        <x:f>B41-C41</x:f>
        <x:v>0.36443019943019994</x:v>
      </x:c>
      <x:c r="E41" s="80" t="n">
        <x:f>D41/B41</x:f>
        <x:v>0.048516421205144704</x:v>
      </x:c>
      <x:c r="F41" s="81" t="n">
        <x:f>B41/C41</x:f>
        <x:v>1.0509902874693806</x:v>
      </x:c>
      <x:c r="G41" s="91" t="n">
        <x:f>AVERAGE('Per Iteration'!$J$8,'Per Iteration'!$J$12,'Per Iteration'!$J$16)</x:f>
        <x:v>2.0308641975308643</x:v>
      </x:c>
      <x:c r="H41" s="92" t="n">
        <x:f>AVERAGE('Per Iteration'!$K$8,'Per Iteration'!$K$12,'Per Iteration'!$K$16)</x:f>
        <x:v>1.373333333333333</x:v>
      </x:c>
      <x:c r="I41" s="93" t="n">
        <x:f>G41-H41</x:f>
        <x:v>0.6575308641975313</x:v>
      </x:c>
      <x:c r="J41" s="80" t="n">
        <x:f>I41/G41</x:f>
        <x:v>0.3237689969604865</x:v>
      </x:c>
      <x:c r="K41" s="81" t="n">
        <x:f>G41/H41</x:f>
        <x:v>1.4787846098525714</x:v>
      </x:c>
      <x:c r="L41" s="96" t="n">
        <x:f>AVERAGE('Per Iteration'!$O$8,'Per Iteration'!$O$12,'Per Iteration'!$O$16)</x:f>
        <x:v>0.9629629629629629</x:v>
      </x:c>
      <x:c r="M41" s="96" t="n">
        <x:f>K41/L41</x:f>
        <x:v>1.5356609410007473</x:v>
      </x:c>
    </x:row>
  </x:sheetData>
  <x:mergeCells>
    <x:mergeCell ref="A1:O1"/>
    <x:mergeCell ref="A2:O2"/>
    <x:mergeCell ref="A4:C4"/>
    <x:mergeCell ref="A5:C6"/>
    <x:mergeCell ref="E4:G4"/>
    <x:mergeCell ref="E5:G6"/>
    <x:mergeCell ref="I4:K4"/>
    <x:mergeCell ref="I5:K6"/>
    <x:mergeCell ref="M4:O4"/>
    <x:mergeCell ref="M5:O6"/>
    <x:mergeCell ref="A14:O14"/>
    <x:mergeCell ref="A34:O34"/>
    <x:mergeCell ref="A35:O35"/>
  </x:mergeCells>
  <x:pageMargins left="0.7" right="0.7" top="0.75" bottom="0.75" header="0.3" footer="0.3"/>
  <x:drawing xmlns:r="http://schemas.openxmlformats.org/officeDocument/2006/relationships" r:id="Rcaf006d34b45447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18" hidden="0" customWidth="1"/>
    <x:col min="4" max="4" width="20" hidden="0" customWidth="1"/>
    <x:col min="5" max="5" width="21" hidden="0" customWidth="1"/>
    <x:col min="6" max="6" width="13" hidden="0" customWidth="1"/>
    <x:col min="7" max="7" width="16" hidden="0" customWidth="1"/>
    <x:col min="8" max="8" width="12" hidden="0" customWidth="1"/>
    <x:col min="9" max="9" width="13" hidden="0" customWidth="1"/>
    <x:col min="10" max="10" width="16" hidden="0" customWidth="1"/>
    <x:col min="11" max="11" width="14" hidden="0" customWidth="1"/>
    <x:col min="12" max="12" width="15" hidden="0" customWidth="1"/>
    <x:col min="13" max="13" width="14" hidden="0" customWidth="1"/>
    <x:col min="14" max="14" width="12" hidden="0" customWidth="1"/>
    <x:col min="15" max="15" width="15" hidden="0" customWidth="1"/>
    <x:col min="16" max="16" width="13" hidden="0" customWidth="1"/>
    <x:col min="17" max="17" width="14" hidden="0" customWidth="1"/>
    <x:col min="18" max="18" width="13" hidden="0" customWidth="1"/>
    <x:col min="19" max="19" width="19" hidden="0" customWidth="1"/>
    <x:col min="20" max="20" width="15" hidden="0" customWidth="1"/>
  </x:cols>
  <x:sheetData>
    <x:row r="1" ht="34" customHeight="1">
      <x:c r="A1" s="3" t="str">
        <x:v>Paired run comparison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0" customHeight="1">
      <x:c r="A2" s="7" t="str">
        <x:v>Baseline and dynamic-precision calculations are adjacent for every run/system pair. Green metrics indicate the dynamic-precision result; reductions and speedups are calculated in-sheet.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2" customHeight="1">
      <x:c r="A4" s="18" t="str">
        <x:v>Run</x:v>
      </x:c>
      <x:c r="B4" s="19" t="str">
        <x:v>System</x:v>
      </x:c>
      <x:c r="C4" s="19" t="str">
        <x:v>Energy Off (Ha)</x:v>
      </x:c>
      <x:c r="D4" s="19" t="str">
        <x:v>Energy Dynamic (Ha)</x:v>
      </x:c>
      <x:c r="E4" s="19" t="str">
        <x:v>Δ Energy: Dynamic − Off (Ha)</x:v>
      </x:c>
      <x:c r="F4" s="19" t="str">
        <x:v>SCF iters Off</x:v>
      </x:c>
      <x:c r="G4" s="19" t="str">
        <x:v>SCF iters Dynamic</x:v>
      </x:c>
      <x:c r="H4" s="19" t="str">
        <x:v>Δ iterations</x:v>
      </x:c>
      <x:c r="I4" s="19" t="str">
        <x:v>Total Off (s)</x:v>
      </x:c>
      <x:c r="J4" s="19" t="str">
        <x:v>Total Dynamic (s)</x:v>
      </x:c>
      <x:c r="K4" s="19" t="str">
        <x:v>Total saved (s)</x:v>
      </x:c>
      <x:c r="L4" s="19" t="str">
        <x:v>Total reduction</x:v>
      </x:c>
      <x:c r="M4" s="19" t="str">
        <x:v>Total speedup</x:v>
      </x:c>
      <x:c r="N4" s="19" t="str">
        <x:v>XC Off (s)</x:v>
      </x:c>
      <x:c r="O4" s="19" t="str">
        <x:v>XC Dynamic (s)</x:v>
      </x:c>
      <x:c r="P4" s="19" t="str">
        <x:v>XC saved (s)</x:v>
      </x:c>
      <x:c r="Q4" s="19" t="str">
        <x:v>XC reduction</x:v>
      </x:c>
      <x:c r="R4" s="19" t="str">
        <x:v>Effective XC speedup (total XC)</x:v>
      </x:c>
      <x:c r="S4" s="19" t="str">
        <x:v>Switch to double (iteration)</x:v>
      </x:c>
      <x:c r="T4" s="20" t="str">
        <x:v>Grid points</x:v>
      </x:c>
    </x:row>
    <x:row r="5">
      <x:c r="A5" s="25" t="n">
        <x:f>'Raw Data'!A5</x:f>
        <x:v>1</x:v>
      </x:c>
      <x:c r="B5" s="25" t="str">
        <x:f>'Raw Data'!B5</x:f>
        <x:v>water_10</x:v>
      </x:c>
      <x:c r="C5" s="32" t="n">
        <x:f>'Raw Data'!F5</x:f>
        <x:v>-762.8609888846465</x:v>
      </x:c>
      <x:c r="D5" s="55" t="n">
        <x:f>'Raw Data'!F6</x:f>
        <x:v>-762.8609888904864</x:v>
      </x:c>
      <x:c r="E5" s="57" t="n">
        <x:f>D5-C5</x:f>
        <x:v>-5.839865480083972e-9</x:v>
      </x:c>
      <x:c r="F5" s="36" t="n">
        <x:f>'Raw Data'!G5</x:f>
        <x:v>22</x:v>
      </x:c>
      <x:c r="G5" s="60" t="n">
        <x:f>'Raw Data'!G6</x:f>
        <x:v>24</x:v>
      </x:c>
      <x:c r="H5" s="61" t="n">
        <x:f>G5-F5</x:f>
        <x:v>2</x:v>
      </x:c>
      <x:c r="I5" s="40" t="n">
        <x:f>'Raw Data'!H5</x:f>
        <x:v>10.46</x:v>
      </x:c>
      <x:c r="J5" s="65" t="n">
        <x:f>'Raw Data'!H6</x:f>
        <x:v>10.16</x:v>
      </x:c>
      <x:c r="K5" s="73" t="n">
        <x:f>I5-J5</x:f>
        <x:v>0.3000000000000007</x:v>
      </x:c>
      <x:c r="L5" s="74" t="n">
        <x:f>K5/I5</x:f>
        <x:v>0.02868068833652014</x:v>
      </x:c>
      <x:c r="M5" s="75" t="n">
        <x:f>I5/J5</x:f>
        <x:v>1.0295275590551183</x:v>
      </x:c>
      <x:c r="N5" s="73" t="n">
        <x:f>'Raw Data'!I5</x:f>
        <x:v>3.42</x:v>
      </x:c>
      <x:c r="O5" s="73" t="n">
        <x:f>'Raw Data'!I6</x:f>
        <x:v>3.3</x:v>
      </x:c>
      <x:c r="P5" s="73" t="n">
        <x:f>N5-O5</x:f>
        <x:v>0.1200000000000001</x:v>
      </x:c>
      <x:c r="Q5" s="74" t="n">
        <x:f>P5/N5</x:f>
        <x:v>0.03508771929824565</x:v>
      </x:c>
      <x:c r="R5" s="75" t="n">
        <x:f>N5/O5</x:f>
        <x:v>1.0363636363636364</x:v>
      </x:c>
      <x:c r="S5" s="47" t="n">
        <x:f>'Raw Data'!E6</x:f>
        <x:v>17</x:v>
      </x:c>
      <x:c r="T5" s="47" t="n">
        <x:f>'Raw Data'!J5</x:f>
        <x:v>290210</x:v>
      </x:c>
    </x:row>
    <x:row r="6">
      <x:c r="A6" s="26" t="n">
        <x:f>'Raw Data'!A7</x:f>
        <x:v>1</x:v>
      </x:c>
      <x:c r="B6" s="26" t="str">
        <x:f>'Raw Data'!B7</x:f>
        <x:v>water_20</x:v>
      </x:c>
      <x:c r="C6" s="34" t="n">
        <x:f>'Raw Data'!F7</x:f>
        <x:v>-1525.7903988090375</x:v>
      </x:c>
      <x:c r="D6" s="33" t="n">
        <x:f>'Raw Data'!F8</x:f>
        <x:v>-1525.7903989377019</x:v>
      </x:c>
      <x:c r="E6" s="58" t="n">
        <x:f>D6-C6</x:f>
        <x:v>-1.286643964704126e-7</x:v>
      </x:c>
      <x:c r="F6" s="38" t="n">
        <x:f>'Raw Data'!G7</x:f>
        <x:v>21</x:v>
      </x:c>
      <x:c r="G6" s="37" t="n">
        <x:f>'Raw Data'!G8</x:f>
        <x:v>24</x:v>
      </x:c>
      <x:c r="H6" s="62" t="n">
        <x:f>G6-F6</x:f>
        <x:v>3</x:v>
      </x:c>
      <x:c r="I6" s="44" t="n">
        <x:f>'Raw Data'!H7</x:f>
        <x:v>32.22</x:v>
      </x:c>
      <x:c r="J6" s="42" t="n">
        <x:f>'Raw Data'!H8</x:f>
        <x:v>31.01</x:v>
      </x:c>
      <x:c r="K6" s="76" t="n">
        <x:f>I6-J6</x:f>
        <x:v>1.2099999999999973</x:v>
      </x:c>
      <x:c r="L6" s="77" t="n">
        <x:f>K6/I6</x:f>
        <x:v>0.03755431409062686</x:v>
      </x:c>
      <x:c r="M6" s="78" t="n">
        <x:f>I6/J6</x:f>
        <x:v>1.039019671073847</x:v>
      </x:c>
      <x:c r="N6" s="76" t="n">
        <x:f>'Raw Data'!I7</x:f>
        <x:v>9.3</x:v>
      </x:c>
      <x:c r="O6" s="76" t="n">
        <x:f>'Raw Data'!I8</x:f>
        <x:v>8.45</x:v>
      </x:c>
      <x:c r="P6" s="76" t="n">
        <x:f>N6-O6</x:f>
        <x:v>0.8500000000000014</x:v>
      </x:c>
      <x:c r="Q6" s="77" t="n">
        <x:f>P6/N6</x:f>
        <x:v>0.09139784946236573</x:v>
      </x:c>
      <x:c r="R6" s="78" t="n">
        <x:f>N6/O6</x:f>
        <x:v>1.1005917159763314</x:v>
      </x:c>
      <x:c r="S6" s="48" t="n">
        <x:f>'Raw Data'!E8</x:f>
        <x:v>17</x:v>
      </x:c>
      <x:c r="T6" s="48" t="n">
        <x:f>'Raw Data'!J7</x:f>
        <x:v>560702</x:v>
      </x:c>
    </x:row>
    <x:row r="7">
      <x:c r="A7" s="26" t="n">
        <x:f>'Raw Data'!A9</x:f>
        <x:v>1</x:v>
      </x:c>
      <x:c r="B7" s="26" t="str">
        <x:f>'Raw Data'!B9</x:f>
        <x:v>water_32</x:v>
      </x:c>
      <x:c r="C7" s="34" t="n">
        <x:f>'Raw Data'!F9</x:f>
        <x:v>-2441.350220620212</x:v>
      </x:c>
      <x:c r="D7" s="33" t="n">
        <x:f>'Raw Data'!F10</x:f>
        <x:v>-2441.35022060544</x:v>
      </x:c>
      <x:c r="E7" s="58" t="n">
        <x:f>D7-C7</x:f>
        <x:v>1.47720129461959e-8</x:v>
      </x:c>
      <x:c r="F7" s="38" t="n">
        <x:f>'Raw Data'!G9</x:f>
        <x:v>34</x:v>
      </x:c>
      <x:c r="G7" s="37" t="n">
        <x:f>'Raw Data'!G10</x:f>
        <x:v>32</x:v>
      </x:c>
      <x:c r="H7" s="62" t="n">
        <x:f>G7-F7</x:f>
        <x:v>-2</x:v>
      </x:c>
      <x:c r="I7" s="44" t="n">
        <x:f>'Raw Data'!H9</x:f>
        <x:v>93.64</x:v>
      </x:c>
      <x:c r="J7" s="42" t="n">
        <x:f>'Raw Data'!H10</x:f>
        <x:v>83.05</x:v>
      </x:c>
      <x:c r="K7" s="76" t="n">
        <x:f>I7-J7</x:f>
        <x:v>10.590000000000003</x:v>
      </x:c>
      <x:c r="L7" s="77" t="n">
        <x:f>K7/I7</x:f>
        <x:v>0.11309269542930375</x:v>
      </x:c>
      <x:c r="M7" s="78" t="n">
        <x:f>I7/J7</x:f>
        <x:v>1.1275135460565924</x:v>
      </x:c>
      <x:c r="N7" s="76" t="n">
        <x:f>'Raw Data'!I9</x:f>
        <x:v>30.02</x:v>
      </x:c>
      <x:c r="O7" s="76" t="n">
        <x:f>'Raw Data'!I10</x:f>
        <x:v>21.88</x:v>
      </x:c>
      <x:c r="P7" s="76" t="n">
        <x:f>N7-O7</x:f>
        <x:v>8.14</x:v>
      </x:c>
      <x:c r="Q7" s="77" t="n">
        <x:f>P7/N7</x:f>
        <x:v>0.27115256495669554</x:v>
      </x:c>
      <x:c r="R7" s="78" t="n">
        <x:f>N7/O7</x:f>
        <x:v>1.3720292504570384</x:v>
      </x:c>
      <x:c r="S7" s="48" t="n">
        <x:f>'Raw Data'!E10</x:f>
        <x:v>22</x:v>
      </x:c>
      <x:c r="T7" s="48" t="n">
        <x:f>'Raw Data'!J9</x:f>
        <x:v>884616</x:v>
      </x:c>
    </x:row>
    <x:row r="8">
      <x:c r="A8" s="26" t="n">
        <x:f>'Raw Data'!A11</x:f>
        <x:v>1</x:v>
      </x:c>
      <x:c r="B8" s="26" t="str">
        <x:f>'Raw Data'!B11</x:f>
        <x:v>water_47</x:v>
      </x:c>
      <x:c r="C8" s="34" t="n">
        <x:f>'Raw Data'!F11</x:f>
        <x:v>-3585.736596697372</x:v>
      </x:c>
      <x:c r="D8" s="33" t="n">
        <x:f>'Raw Data'!F12</x:f>
        <x:v>-3585.73659670718</x:v>
      </x:c>
      <x:c r="E8" s="58" t="n">
        <x:f>D8-C8</x:f>
        <x:v>-9.807990863919258e-9</x:v>
      </x:c>
      <x:c r="F8" s="38" t="n">
        <x:f>'Raw Data'!G11</x:f>
        <x:v>27</x:v>
      </x:c>
      <x:c r="G8" s="37" t="n">
        <x:f>'Raw Data'!G12</x:f>
        <x:v>26</x:v>
      </x:c>
      <x:c r="H8" s="62" t="n">
        <x:f>G8-F8</x:f>
        <x:v>-1</x:v>
      </x:c>
      <x:c r="I8" s="44" t="n">
        <x:f>'Raw Data'!H11</x:f>
        <x:v>201.33</x:v>
      </x:c>
      <x:c r="J8" s="42" t="n">
        <x:f>'Raw Data'!H12</x:f>
        <x:v>185.32</x:v>
      </x:c>
      <x:c r="K8" s="76" t="n">
        <x:f>I8-J8</x:f>
        <x:v>16.01000000000002</x:v>
      </x:c>
      <x:c r="L8" s="77" t="n">
        <x:f>K8/I8</x:f>
        <x:v>0.07952118412556508</x:v>
      </x:c>
      <x:c r="M8" s="78" t="n">
        <x:f>I8/J8</x:f>
        <x:v>1.0863911072739048</x:v>
      </x:c>
      <x:c r="N8" s="76" t="n">
        <x:f>'Raw Data'!I11</x:f>
        <x:v>54.33</x:v>
      </x:c>
      <x:c r="O8" s="76" t="n">
        <x:f>'Raw Data'!I12</x:f>
        <x:v>35.65</x:v>
      </x:c>
      <x:c r="P8" s="76" t="n">
        <x:f>N8-O8</x:f>
        <x:v>18.68</x:v>
      </x:c>
      <x:c r="Q8" s="77" t="n">
        <x:f>P8/N8</x:f>
        <x:v>0.34382477452604454</x:v>
      </x:c>
      <x:c r="R8" s="78" t="n">
        <x:f>N8/O8</x:f>
        <x:v>1.5239831697054698</x:v>
      </x:c>
      <x:c r="S8" s="48" t="n">
        <x:f>'Raw Data'!E12</x:f>
        <x:v>19</x:v>
      </x:c>
      <x:c r="T8" s="48" t="n">
        <x:f>'Raw Data'!J11</x:f>
        <x:v>1287189</x:v>
      </x:c>
    </x:row>
    <x:row r="9">
      <x:c r="A9" s="26" t="n">
        <x:f>'Raw Data'!A13</x:f>
        <x:v>2</x:v>
      </x:c>
      <x:c r="B9" s="26" t="str">
        <x:f>'Raw Data'!B13</x:f>
        <x:v>water_10</x:v>
      </x:c>
      <x:c r="C9" s="34" t="n">
        <x:f>'Raw Data'!F13</x:f>
        <x:v>-762.8609888846479</x:v>
      </x:c>
      <x:c r="D9" s="33" t="n">
        <x:f>'Raw Data'!F14</x:f>
        <x:v>-762.8609888904864</x:v>
      </x:c>
      <x:c r="E9" s="58" t="n">
        <x:f>D9-C9</x:f>
        <x:v>-5.838501238031313e-9</x:v>
      </x:c>
      <x:c r="F9" s="38" t="n">
        <x:f>'Raw Data'!G13</x:f>
        <x:v>22</x:v>
      </x:c>
      <x:c r="G9" s="37" t="n">
        <x:f>'Raw Data'!G14</x:f>
        <x:v>24</x:v>
      </x:c>
      <x:c r="H9" s="62" t="n">
        <x:f>G9-F9</x:f>
        <x:v>2</x:v>
      </x:c>
      <x:c r="I9" s="44" t="n">
        <x:f>'Raw Data'!H13</x:f>
        <x:v>10.53</x:v>
      </x:c>
      <x:c r="J9" s="42" t="n">
        <x:f>'Raw Data'!H14</x:f>
        <x:v>10.19</x:v>
      </x:c>
      <x:c r="K9" s="76" t="n">
        <x:f>I9-J9</x:f>
        <x:v>0.33999999999999986</x:v>
      </x:c>
      <x:c r="L9" s="77" t="n">
        <x:f>K9/I9</x:f>
        <x:v>0.03228869895536561</x:v>
      </x:c>
      <x:c r="M9" s="78" t="n">
        <x:f>I9/J9</x:f>
        <x:v>1.0333660451422964</x:v>
      </x:c>
      <x:c r="N9" s="76" t="n">
        <x:f>'Raw Data'!I13</x:f>
        <x:v>3.52</x:v>
      </x:c>
      <x:c r="O9" s="76" t="n">
        <x:f>'Raw Data'!I14</x:f>
        <x:v>3.27</x:v>
      </x:c>
      <x:c r="P9" s="76" t="n">
        <x:f>N9-O9</x:f>
        <x:v>0.25</x:v>
      </x:c>
      <x:c r="Q9" s="77" t="n">
        <x:f>P9/N9</x:f>
        <x:v>0.07102272727272728</x:v>
      </x:c>
      <x:c r="R9" s="78" t="n">
        <x:f>N9/O9</x:f>
        <x:v>1.0764525993883791</x:v>
      </x:c>
      <x:c r="S9" s="48" t="n">
        <x:f>'Raw Data'!E14</x:f>
        <x:v>17</x:v>
      </x:c>
      <x:c r="T9" s="48" t="n">
        <x:f>'Raw Data'!J13</x:f>
        <x:v>290210</x:v>
      </x:c>
    </x:row>
    <x:row r="10">
      <x:c r="A10" s="26" t="n">
        <x:f>'Raw Data'!A15</x:f>
        <x:v>2</x:v>
      </x:c>
      <x:c r="B10" s="26" t="str">
        <x:f>'Raw Data'!B15</x:f>
        <x:v>water_20</x:v>
      </x:c>
      <x:c r="C10" s="34" t="n">
        <x:f>'Raw Data'!F15</x:f>
        <x:v>-1525.7903988090343</x:v>
      </x:c>
      <x:c r="D10" s="33" t="n">
        <x:f>'Raw Data'!F16</x:f>
        <x:v>-1525.790398937701</x:v>
      </x:c>
      <x:c r="E10" s="58" t="n">
        <x:f>D10-C10</x:f>
        <x:v>-1.2866667020716704e-7</x:v>
      </x:c>
      <x:c r="F10" s="38" t="n">
        <x:f>'Raw Data'!G15</x:f>
        <x:v>21</x:v>
      </x:c>
      <x:c r="G10" s="37" t="n">
        <x:f>'Raw Data'!G16</x:f>
        <x:v>24</x:v>
      </x:c>
      <x:c r="H10" s="62" t="n">
        <x:f>G10-F10</x:f>
        <x:v>3</x:v>
      </x:c>
      <x:c r="I10" s="44" t="n">
        <x:f>'Raw Data'!H15</x:f>
        <x:v>32.72</x:v>
      </x:c>
      <x:c r="J10" s="42" t="n">
        <x:f>'Raw Data'!H16</x:f>
        <x:v>31.02</x:v>
      </x:c>
      <x:c r="K10" s="76" t="n">
        <x:f>I10-J10</x:f>
        <x:v>1.6999999999999993</x:v>
      </x:c>
      <x:c r="L10" s="77" t="n">
        <x:f>K10/I10</x:f>
        <x:v>0.05195599022004888</x:v>
      </x:c>
      <x:c r="M10" s="78" t="n">
        <x:f>I10/J10</x:f>
        <x:v>1.054803352675693</x:v>
      </x:c>
      <x:c r="N10" s="76" t="n">
        <x:f>'Raw Data'!I15</x:f>
        <x:v>9.46</x:v>
      </x:c>
      <x:c r="O10" s="76" t="n">
        <x:f>'Raw Data'!I16</x:f>
        <x:v>8.41</x:v>
      </x:c>
      <x:c r="P10" s="76" t="n">
        <x:f>N10-O10</x:f>
        <x:v>1.0500000000000007</x:v>
      </x:c>
      <x:c r="Q10" s="77" t="n">
        <x:f>P10/N10</x:f>
        <x:v>0.11099365750528548</x:v>
      </x:c>
      <x:c r="R10" s="78" t="n">
        <x:f>N10/O10</x:f>
        <x:v>1.1248513674197385</x:v>
      </x:c>
      <x:c r="S10" s="48" t="n">
        <x:f>'Raw Data'!E16</x:f>
        <x:v>17</x:v>
      </x:c>
      <x:c r="T10" s="48" t="n">
        <x:f>'Raw Data'!J15</x:f>
        <x:v>560702</x:v>
      </x:c>
    </x:row>
    <x:row r="11">
      <x:c r="A11" s="26" t="n">
        <x:f>'Raw Data'!A17</x:f>
        <x:v>2</x:v>
      </x:c>
      <x:c r="B11" s="26" t="str">
        <x:f>'Raw Data'!B17</x:f>
        <x:v>water_32</x:v>
      </x:c>
      <x:c r="C11" s="34" t="n">
        <x:f>'Raw Data'!F17</x:f>
        <x:v>-2441.350220620213</x:v>
      </x:c>
      <x:c r="D11" s="33" t="n">
        <x:f>'Raw Data'!F18</x:f>
        <x:v>-2441.35022060543</x:v>
      </x:c>
      <x:c r="E11" s="58" t="n">
        <x:f>D11-C11</x:f>
        <x:v>1.4782926882617176e-8</x:v>
      </x:c>
      <x:c r="F11" s="38" t="n">
        <x:f>'Raw Data'!G17</x:f>
        <x:v>34</x:v>
      </x:c>
      <x:c r="G11" s="37" t="n">
        <x:f>'Raw Data'!G18</x:f>
        <x:v>32</x:v>
      </x:c>
      <x:c r="H11" s="62" t="n">
        <x:f>G11-F11</x:f>
        <x:v>-2</x:v>
      </x:c>
      <x:c r="I11" s="44" t="n">
        <x:f>'Raw Data'!H17</x:f>
        <x:v>94.33</x:v>
      </x:c>
      <x:c r="J11" s="42" t="n">
        <x:f>'Raw Data'!H18</x:f>
        <x:v>83.94</x:v>
      </x:c>
      <x:c r="K11" s="76" t="n">
        <x:f>I11-J11</x:f>
        <x:v>10.39</x:v>
      </x:c>
      <x:c r="L11" s="77" t="n">
        <x:f>K11/I11</x:f>
        <x:v>0.11014523481395103</x:v>
      </x:c>
      <x:c r="M11" s="78" t="n">
        <x:f>I11/J11</x:f>
        <x:v>1.123778889683107</x:v>
      </x:c>
      <x:c r="N11" s="76" t="n">
        <x:f>'Raw Data'!I17</x:f>
        <x:v>30.32</x:v>
      </x:c>
      <x:c r="O11" s="76" t="n">
        <x:f>'Raw Data'!I18</x:f>
        <x:v>21.96</x:v>
      </x:c>
      <x:c r="P11" s="76" t="n">
        <x:f>N11-O11</x:f>
        <x:v>8.36</x:v>
      </x:c>
      <x:c r="Q11" s="77" t="n">
        <x:f>P11/N11</x:f>
        <x:v>0.2757255936675462</x:v>
      </x:c>
      <x:c r="R11" s="78" t="n">
        <x:f>N11/O11</x:f>
        <x:v>1.3806921675774135</x:v>
      </x:c>
      <x:c r="S11" s="48" t="n">
        <x:f>'Raw Data'!E18</x:f>
        <x:v>22</x:v>
      </x:c>
      <x:c r="T11" s="48" t="n">
        <x:f>'Raw Data'!J17</x:f>
        <x:v>884616</x:v>
      </x:c>
    </x:row>
    <x:row r="12">
      <x:c r="A12" s="26" t="n">
        <x:f>'Raw Data'!A19</x:f>
        <x:v>2</x:v>
      </x:c>
      <x:c r="B12" s="26" t="str">
        <x:f>'Raw Data'!B19</x:f>
        <x:v>water_47</x:v>
      </x:c>
      <x:c r="C12" s="34" t="n">
        <x:f>'Raw Data'!F19</x:f>
        <x:v>-3585.736596697361</x:v>
      </x:c>
      <x:c r="D12" s="33" t="n">
        <x:f>'Raw Data'!F20</x:f>
        <x:v>-3585.736596707189</x:v>
      </x:c>
      <x:c r="E12" s="58" t="n">
        <x:f>D12-C12</x:f>
        <x:v>-9.827999747358263e-9</x:v>
      </x:c>
      <x:c r="F12" s="38" t="n">
        <x:f>'Raw Data'!G19</x:f>
        <x:v>27</x:v>
      </x:c>
      <x:c r="G12" s="37" t="n">
        <x:f>'Raw Data'!G20</x:f>
        <x:v>26</x:v>
      </x:c>
      <x:c r="H12" s="62" t="n">
        <x:f>G12-F12</x:f>
        <x:v>-1</x:v>
      </x:c>
      <x:c r="I12" s="44" t="n">
        <x:f>'Raw Data'!H19</x:f>
        <x:v>204.07</x:v>
      </x:c>
      <x:c r="J12" s="42" t="n">
        <x:f>'Raw Data'!H20</x:f>
        <x:v>186.04</x:v>
      </x:c>
      <x:c r="K12" s="76" t="n">
        <x:f>I12-J12</x:f>
        <x:v>18.03</x:v>
      </x:c>
      <x:c r="L12" s="77" t="n">
        <x:f>K12/I12</x:f>
        <x:v>0.08835203606605577</x:v>
      </x:c>
      <x:c r="M12" s="78" t="n">
        <x:f>I12/J12</x:f>
        <x:v>1.0969146420124705</x:v>
      </x:c>
      <x:c r="N12" s="76" t="n">
        <x:f>'Raw Data'!I19</x:f>
        <x:v>55.19</x:v>
      </x:c>
      <x:c r="O12" s="76" t="n">
        <x:f>'Raw Data'!I20</x:f>
        <x:v>35.64</x:v>
      </x:c>
      <x:c r="P12" s="76" t="n">
        <x:f>N12-O12</x:f>
        <x:v>19.549999999999997</x:v>
      </x:c>
      <x:c r="Q12" s="77" t="n">
        <x:f>P12/N12</x:f>
        <x:v>0.35423083892009416</x:v>
      </x:c>
      <x:c r="R12" s="78" t="n">
        <x:f>N12/O12</x:f>
        <x:v>1.5485409652076318</x:v>
      </x:c>
      <x:c r="S12" s="48" t="n">
        <x:f>'Raw Data'!E20</x:f>
        <x:v>19</x:v>
      </x:c>
      <x:c r="T12" s="48" t="n">
        <x:f>'Raw Data'!J19</x:f>
        <x:v>1287189</x:v>
      </x:c>
    </x:row>
    <x:row r="13">
      <x:c r="A13" s="26" t="n">
        <x:f>'Raw Data'!A21</x:f>
        <x:v>3</x:v>
      </x:c>
      <x:c r="B13" s="26" t="str">
        <x:f>'Raw Data'!B21</x:f>
        <x:v>water_10</x:v>
      </x:c>
      <x:c r="C13" s="34" t="n">
        <x:f>'Raw Data'!F21</x:f>
        <x:v>-762.8609888846474</x:v>
      </x:c>
      <x:c r="D13" s="33" t="n">
        <x:f>'Raw Data'!F22</x:f>
        <x:v>-762.8609888904859</x:v>
      </x:c>
      <x:c r="E13" s="58" t="n">
        <x:f>D13-C13</x:f>
        <x:v>-5.838501238031313e-9</x:v>
      </x:c>
      <x:c r="F13" s="38" t="n">
        <x:f>'Raw Data'!G21</x:f>
        <x:v>22</x:v>
      </x:c>
      <x:c r="G13" s="37" t="n">
        <x:f>'Raw Data'!G22</x:f>
        <x:v>24</x:v>
      </x:c>
      <x:c r="H13" s="62" t="n">
        <x:f>G13-F13</x:f>
        <x:v>2</x:v>
      </x:c>
      <x:c r="I13" s="44" t="n">
        <x:f>'Raw Data'!H21</x:f>
        <x:v>10.39</x:v>
      </x:c>
      <x:c r="J13" s="42" t="n">
        <x:f>'Raw Data'!H22</x:f>
        <x:v>10.17</x:v>
      </x:c>
      <x:c r="K13" s="76" t="n">
        <x:f>I13-J13</x:f>
        <x:v>0.22000000000000064</x:v>
      </x:c>
      <x:c r="L13" s="77" t="n">
        <x:f>K13/I13</x:f>
        <x:v>0.02117420596727629</x:v>
      </x:c>
      <x:c r="M13" s="78" t="n">
        <x:f>I13/J13</x:f>
        <x:v>1.0216322517207475</x:v>
      </x:c>
      <x:c r="N13" s="76" t="n">
        <x:f>'Raw Data'!I21</x:f>
        <x:v>3.41</x:v>
      </x:c>
      <x:c r="O13" s="76" t="n">
        <x:f>'Raw Data'!I22</x:f>
        <x:v>3.26</x:v>
      </x:c>
      <x:c r="P13" s="76" t="n">
        <x:f>N13-O13</x:f>
        <x:v>0.15000000000000036</x:v>
      </x:c>
      <x:c r="Q13" s="77" t="n">
        <x:f>P13/N13</x:f>
        <x:v>0.04398826979472151</x:v>
      </x:c>
      <x:c r="R13" s="78" t="n">
        <x:f>N13/O13</x:f>
        <x:v>1.0460122699386505</x:v>
      </x:c>
      <x:c r="S13" s="48" t="n">
        <x:f>'Raw Data'!E22</x:f>
        <x:v>17</x:v>
      </x:c>
      <x:c r="T13" s="48" t="n">
        <x:f>'Raw Data'!J21</x:f>
        <x:v>290210</x:v>
      </x:c>
    </x:row>
    <x:row r="14">
      <x:c r="A14" s="26" t="n">
        <x:f>'Raw Data'!A23</x:f>
        <x:v>3</x:v>
      </x:c>
      <x:c r="B14" s="26" t="str">
        <x:f>'Raw Data'!B23</x:f>
        <x:v>water_20</x:v>
      </x:c>
      <x:c r="C14" s="34" t="n">
        <x:f>'Raw Data'!F23</x:f>
        <x:v>-1525.7903988090343</x:v>
      </x:c>
      <x:c r="D14" s="33" t="n">
        <x:f>'Raw Data'!F24</x:f>
        <x:v>-1525.7903989376973</x:v>
      </x:c>
      <x:c r="E14" s="58" t="n">
        <x:f>D14-C14</x:f>
        <x:v>-1.2866303222835995e-7</x:v>
      </x:c>
      <x:c r="F14" s="38" t="n">
        <x:f>'Raw Data'!G23</x:f>
        <x:v>21</x:v>
      </x:c>
      <x:c r="G14" s="37" t="n">
        <x:f>'Raw Data'!G24</x:f>
        <x:v>24</x:v>
      </x:c>
      <x:c r="H14" s="62" t="n">
        <x:f>G14-F14</x:f>
        <x:v>3</x:v>
      </x:c>
      <x:c r="I14" s="44" t="n">
        <x:f>'Raw Data'!H23</x:f>
        <x:v>32.35</x:v>
      </x:c>
      <x:c r="J14" s="42" t="n">
        <x:f>'Raw Data'!H24</x:f>
        <x:v>31.09</x:v>
      </x:c>
      <x:c r="K14" s="76" t="n">
        <x:f>I14-J14</x:f>
        <x:v>1.2600000000000016</x:v>
      </x:c>
      <x:c r="L14" s="77" t="n">
        <x:f>K14/I14</x:f>
        <x:v>0.03894899536321488</x:v>
      </x:c>
      <x:c r="M14" s="78" t="n">
        <x:f>I14/J14</x:f>
        <x:v>1.040527500804117</x:v>
      </x:c>
      <x:c r="N14" s="76" t="n">
        <x:f>'Raw Data'!I23</x:f>
        <x:v>9.33</x:v>
      </x:c>
      <x:c r="O14" s="76" t="n">
        <x:f>'Raw Data'!I24</x:f>
        <x:v>8.37</x:v>
      </x:c>
      <x:c r="P14" s="76" t="n">
        <x:f>N14-O14</x:f>
        <x:v>0.9600000000000009</x:v>
      </x:c>
      <x:c r="Q14" s="77" t="n">
        <x:f>P14/N14</x:f>
        <x:v>0.10289389067524125</x:v>
      </x:c>
      <x:c r="R14" s="78" t="n">
        <x:f>N14/O14</x:f>
        <x:v>1.1146953405017923</x:v>
      </x:c>
      <x:c r="S14" s="48" t="n">
        <x:f>'Raw Data'!E24</x:f>
        <x:v>17</x:v>
      </x:c>
      <x:c r="T14" s="48" t="n">
        <x:f>'Raw Data'!J23</x:f>
        <x:v>560702</x:v>
      </x:c>
    </x:row>
    <x:row r="15">
      <x:c r="A15" s="26" t="n">
        <x:f>'Raw Data'!A25</x:f>
        <x:v>3</x:v>
      </x:c>
      <x:c r="B15" s="26" t="str">
        <x:f>'Raw Data'!B25</x:f>
        <x:v>water_32</x:v>
      </x:c>
      <x:c r="C15" s="34" t="n">
        <x:f>'Raw Data'!F25</x:f>
        <x:v>-2441.3502206202047</x:v>
      </x:c>
      <x:c r="D15" s="33" t="n">
        <x:f>'Raw Data'!F26</x:f>
        <x:v>-2441.350220605442</x:v>
      </x:c>
      <x:c r="E15" s="58" t="n">
        <x:f>D15-C15</x:f>
        <x:v>1.4762917999178171e-8</x:v>
      </x:c>
      <x:c r="F15" s="38" t="n">
        <x:f>'Raw Data'!G25</x:f>
        <x:v>34</x:v>
      </x:c>
      <x:c r="G15" s="37" t="n">
        <x:f>'Raw Data'!G26</x:f>
        <x:v>32</x:v>
      </x:c>
      <x:c r="H15" s="62" t="n">
        <x:f>G15-F15</x:f>
        <x:v>-2</x:v>
      </x:c>
      <x:c r="I15" s="44" t="n">
        <x:f>'Raw Data'!H25</x:f>
        <x:v>93.55</x:v>
      </x:c>
      <x:c r="J15" s="42" t="n">
        <x:f>'Raw Data'!H26</x:f>
        <x:v>83.41</x:v>
      </x:c>
      <x:c r="K15" s="76" t="n">
        <x:f>I15-J15</x:f>
        <x:v>10.14</x:v>
      </x:c>
      <x:c r="L15" s="77" t="n">
        <x:f>K15/I15</x:f>
        <x:v>0.10839123463388563</x:v>
      </x:c>
      <x:c r="M15" s="78" t="n">
        <x:f>I15/J15</x:f>
        <x:v>1.1215681572952882</x:v>
      </x:c>
      <x:c r="N15" s="76" t="n">
        <x:f>'Raw Data'!I25</x:f>
        <x:v>30.12</x:v>
      </x:c>
      <x:c r="O15" s="76" t="n">
        <x:f>'Raw Data'!I26</x:f>
        <x:v>21.84</x:v>
      </x:c>
      <x:c r="P15" s="76" t="n">
        <x:f>N15-O15</x:f>
        <x:v>8.280000000000001</x:v>
      </x:c>
      <x:c r="Q15" s="77" t="n">
        <x:f>P15/N15</x:f>
        <x:v>0.27490039840637454</x:v>
      </x:c>
      <x:c r="R15" s="78" t="n">
        <x:f>N15/O15</x:f>
        <x:v>1.379120879120879</x:v>
      </x:c>
      <x:c r="S15" s="48" t="n">
        <x:f>'Raw Data'!E26</x:f>
        <x:v>22</x:v>
      </x:c>
      <x:c r="T15" s="48" t="n">
        <x:f>'Raw Data'!J25</x:f>
        <x:v>884616</x:v>
      </x:c>
    </x:row>
    <x:row r="16">
      <x:c r="A16" s="27" t="n">
        <x:f>'Raw Data'!A27</x:f>
        <x:v>3</x:v>
      </x:c>
      <x:c r="B16" s="27" t="str">
        <x:f>'Raw Data'!B27</x:f>
        <x:v>water_47</x:v>
      </x:c>
      <x:c r="C16" s="56" t="n">
        <x:f>'Raw Data'!F27</x:f>
        <x:v>-3585.736596697372</x:v>
      </x:c>
      <x:c r="D16" s="35" t="n">
        <x:f>'Raw Data'!F28</x:f>
        <x:v>-3585.736596707191</x:v>
      </x:c>
      <x:c r="E16" s="59" t="n">
        <x:f>D16-C16</x:f>
        <x:v>-9.818904800340533e-9</x:v>
      </x:c>
      <x:c r="F16" s="63" t="n">
        <x:f>'Raw Data'!G27</x:f>
        <x:v>27</x:v>
      </x:c>
      <x:c r="G16" s="39" t="n">
        <x:f>'Raw Data'!G28</x:f>
        <x:v>26</x:v>
      </x:c>
      <x:c r="H16" s="64" t="n">
        <x:f>G16-F16</x:f>
        <x:v>-1</x:v>
      </x:c>
      <x:c r="I16" s="66" t="n">
        <x:f>'Raw Data'!H27</x:f>
        <x:v>203.03</x:v>
      </x:c>
      <x:c r="J16" s="45" t="n">
        <x:f>'Raw Data'!H28</x:f>
        <x:v>186.11</x:v>
      </x:c>
      <x:c r="K16" s="79" t="n">
        <x:f>I16-J16</x:f>
        <x:v>16.919999999999987</x:v>
      </x:c>
      <x:c r="L16" s="80" t="n">
        <x:f>K16/I16</x:f>
        <x:v>0.0833374378170713</x:v>
      </x:c>
      <x:c r="M16" s="81" t="n">
        <x:f>I16/J16</x:f>
        <x:v>1.0909139756058244</x:v>
      </x:c>
      <x:c r="N16" s="79" t="n">
        <x:f>'Raw Data'!I27</x:f>
        <x:v>54.98</x:v>
      </x:c>
      <x:c r="O16" s="79" t="n">
        <x:f>'Raw Data'!I28</x:f>
        <x:v>35.83</x:v>
      </x:c>
      <x:c r="P16" s="79" t="n">
        <x:f>N16-O16</x:f>
        <x:v>19.15</x:v>
      </x:c>
      <x:c r="Q16" s="80" t="n">
        <x:f>P16/N16</x:f>
        <x:v>0.34830847580938523</x:v>
      </x:c>
      <x:c r="R16" s="81" t="n">
        <x:f>N16/O16</x:f>
        <x:v>1.5344683226346636</x:v>
      </x:c>
      <x:c r="S16" s="49" t="n">
        <x:f>'Raw Data'!E28</x:f>
        <x:v>19</x:v>
      </x:c>
      <x:c r="T16" s="49" t="n">
        <x:f>'Raw Data'!J27</x:f>
        <x:v>1287189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13" hidden="0" customWidth="1"/>
    <x:col min="4" max="4" width="17" hidden="0" customWidth="1"/>
    <x:col min="5" max="5" width="17" hidden="0" customWidth="1"/>
    <x:col min="6" max="6" width="20" hidden="0" customWidth="1"/>
    <x:col min="7" max="7" width="18" hidden="0" customWidth="1"/>
    <x:col min="8" max="8" width="19" hidden="0" customWidth="1"/>
    <x:col min="9" max="9" width="18" hidden="0" customWidth="1"/>
    <x:col min="10" max="10" width="15" hidden="0" customWidth="1"/>
    <x:col min="11" max="11" width="18" hidden="0" customWidth="1"/>
    <x:col min="12" max="12" width="16" hidden="0" customWidth="1"/>
    <x:col min="13" max="13" width="17" hidden="0" customWidth="1"/>
    <x:col min="14" max="14" width="16" hidden="0" customWidth="1"/>
    <x:col min="15" max="15" width="20" hidden="0" customWidth="1"/>
    <x:col min="16" max="16" width="18" hidden="0" customWidth="1"/>
  </x:cols>
  <x:sheetData>
    <x:row r="1" ht="34" customHeight="1">
      <x:c r="A1" s="3" t="str">
        <x:v>Per-iteration timing comparison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7" t="str">
        <x:v>Kernel XC speedup compares XC time per iteration. Effective XC speedup divides that result by the iteration-count factor, so extra or fewer SCF cycles are included.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2" customHeight="1">
      <x:c r="A4" s="18" t="str">
        <x:v>Run</x:v>
      </x:c>
      <x:c r="B4" s="19" t="str">
        <x:v>System</x:v>
      </x:c>
      <x:c r="C4" s="19" t="str">
        <x:v>SCF iters Off</x:v>
      </x:c>
      <x:c r="D4" s="19" t="str">
        <x:v>SCF iters Dynamic</x:v>
      </x:c>
      <x:c r="E4" s="19" t="str">
        <x:v>Total / iter Off (s)</x:v>
      </x:c>
      <x:c r="F4" s="19" t="str">
        <x:v>Total / iter Dynamic (s)</x:v>
      </x:c>
      <x:c r="G4" s="19" t="str">
        <x:v>Total / iter saved (s)</x:v>
      </x:c>
      <x:c r="H4" s="19" t="str">
        <x:v>Total / iter reduction</x:v>
      </x:c>
      <x:c r="I4" s="19" t="str">
        <x:v>Total / iter speedup</x:v>
      </x:c>
      <x:c r="J4" s="19" t="str">
        <x:v>XC / iter Off (s)</x:v>
      </x:c>
      <x:c r="K4" s="19" t="str">
        <x:v>XC / iter Dynamic (s)</x:v>
      </x:c>
      <x:c r="L4" s="19" t="str">
        <x:v>XC / iter saved (s)</x:v>
      </x:c>
      <x:c r="M4" s="19" t="str">
        <x:v>XC / iter reduction</x:v>
      </x:c>
      <x:c r="N4" s="19" t="str">
        <x:v>XC kernel speedup / iter</x:v>
      </x:c>
      <x:c r="O4" s="19" t="str">
        <x:v>Iteration-count factor (Dynamic / Off)</x:v>
      </x:c>
      <x:c r="P4" s="20" t="str">
        <x:v>Effective XC speedup</x:v>
      </x:c>
    </x:row>
    <x:row r="5">
      <x:c r="A5" s="25" t="n">
        <x:f>'Paired Runs'!A5</x:f>
        <x:v>1</x:v>
      </x:c>
      <x:c r="B5" s="25" t="str">
        <x:f>'Paired Runs'!B5</x:f>
        <x:v>water_10</x:v>
      </x:c>
      <x:c r="C5" s="36" t="n">
        <x:f>'Paired Runs'!F5</x:f>
        <x:v>22</x:v>
      </x:c>
      <x:c r="D5" s="60" t="n">
        <x:f>'Paired Runs'!G5</x:f>
        <x:v>24</x:v>
      </x:c>
      <x:c r="E5" s="85" t="n">
        <x:f>'Paired Runs'!I5/'Paired Runs'!F5</x:f>
        <x:v>0.4754545454545455</x:v>
      </x:c>
      <x:c r="F5" s="86" t="n">
        <x:f>'Paired Runs'!J5/'Paired Runs'!G5</x:f>
        <x:v>0.42333333333333334</x:v>
      </x:c>
      <x:c r="G5" s="87" t="n">
        <x:f>E5-F5</x:f>
        <x:v>0.05212121212121218</x:v>
      </x:c>
      <x:c r="H5" s="74" t="n">
        <x:f>G5/E5</x:f>
        <x:v>0.10962396430847685</x:v>
      </x:c>
      <x:c r="I5" s="75" t="n">
        <x:f>E5/F5</x:f>
        <x:v>1.1231209735146745</x:v>
      </x:c>
      <x:c r="J5" s="85" t="n">
        <x:f>'Paired Runs'!N5/'Paired Runs'!F5</x:f>
        <x:v>0.15545454545454546</x:v>
      </x:c>
      <x:c r="K5" s="86" t="n">
        <x:f>'Paired Runs'!O5/'Paired Runs'!G5</x:f>
        <x:v>0.13749999999999998</x:v>
      </x:c>
      <x:c r="L5" s="87" t="n">
        <x:f>J5-K5</x:f>
        <x:v>0.017954545454545473</x:v>
      </x:c>
      <x:c r="M5" s="74" t="n">
        <x:f>L5/J5</x:f>
        <x:v>0.11549707602339193</x:v>
      </x:c>
      <x:c r="N5" s="75" t="n">
        <x:f>J5/K5</x:f>
        <x:v>1.1305785123966943</x:v>
      </x:c>
      <x:c r="O5" s="94" t="n">
        <x:f>D5/C5</x:f>
        <x:v>1.0909090909090908</x:v>
      </x:c>
      <x:c r="P5" s="94" t="n">
        <x:f>N5/O5</x:f>
        <x:v>1.0363636363636366</x:v>
      </x:c>
    </x:row>
    <x:row r="6">
      <x:c r="A6" s="26" t="n">
        <x:f>'Paired Runs'!A6</x:f>
        <x:v>1</x:v>
      </x:c>
      <x:c r="B6" s="26" t="str">
        <x:f>'Paired Runs'!B6</x:f>
        <x:v>water_20</x:v>
      </x:c>
      <x:c r="C6" s="38" t="n">
        <x:f>'Paired Runs'!F6</x:f>
        <x:v>21</x:v>
      </x:c>
      <x:c r="D6" s="37" t="n">
        <x:f>'Paired Runs'!G6</x:f>
        <x:v>24</x:v>
      </x:c>
      <x:c r="E6" s="88" t="n">
        <x:f>'Paired Runs'!I6/'Paired Runs'!F6</x:f>
        <x:v>1.5342857142857143</x:v>
      </x:c>
      <x:c r="F6" s="89" t="n">
        <x:f>'Paired Runs'!J6/'Paired Runs'!G6</x:f>
        <x:v>1.2920833333333335</x:v>
      </x:c>
      <x:c r="G6" s="90" t="n">
        <x:f>E6-F6</x:f>
        <x:v>0.24220238095238078</x:v>
      </x:c>
      <x:c r="H6" s="77" t="n">
        <x:f>G6/E6</x:f>
        <x:v>0.15786002482929845</x:v>
      </x:c>
      <x:c r="I6" s="78" t="n">
        <x:f>E6/F6</x:f>
        <x:v>1.187451052655825</x:v>
      </x:c>
      <x:c r="J6" s="88" t="n">
        <x:f>'Paired Runs'!N6/'Paired Runs'!F6</x:f>
        <x:v>0.4428571428571429</x:v>
      </x:c>
      <x:c r="K6" s="89" t="n">
        <x:f>'Paired Runs'!O6/'Paired Runs'!G6</x:f>
        <x:v>0.3520833333333333</x:v>
      </x:c>
      <x:c r="L6" s="90" t="n">
        <x:f>J6-K6</x:f>
        <x:v>0.09077380952380959</x:v>
      </x:c>
      <x:c r="M6" s="77" t="n">
        <x:f>L6/J6</x:f>
        <x:v>0.20497311827957002</x:v>
      </x:c>
      <x:c r="N6" s="78" t="n">
        <x:f>J6/K6</x:f>
        <x:v>1.2578191039729503</x:v>
      </x:c>
      <x:c r="O6" s="95" t="n">
        <x:f>D6/C6</x:f>
        <x:v>1.1428571428571428</x:v>
      </x:c>
      <x:c r="P6" s="95" t="n">
        <x:f>N6/O6</x:f>
        <x:v>1.1005917159763317</x:v>
      </x:c>
    </x:row>
    <x:row r="7">
      <x:c r="A7" s="26" t="n">
        <x:f>'Paired Runs'!A7</x:f>
        <x:v>1</x:v>
      </x:c>
      <x:c r="B7" s="26" t="str">
        <x:f>'Paired Runs'!B7</x:f>
        <x:v>water_32</x:v>
      </x:c>
      <x:c r="C7" s="38" t="n">
        <x:f>'Paired Runs'!F7</x:f>
        <x:v>34</x:v>
      </x:c>
      <x:c r="D7" s="37" t="n">
        <x:f>'Paired Runs'!G7</x:f>
        <x:v>32</x:v>
      </x:c>
      <x:c r="E7" s="88" t="n">
        <x:f>'Paired Runs'!I7/'Paired Runs'!F7</x:f>
        <x:v>2.7541176470588233</x:v>
      </x:c>
      <x:c r="F7" s="89" t="n">
        <x:f>'Paired Runs'!J7/'Paired Runs'!G7</x:f>
        <x:v>2.5953125</x:v>
      </x:c>
      <x:c r="G7" s="90" t="n">
        <x:f>E7-F7</x:f>
        <x:v>0.15880514705882343</x:v>
      </x:c>
      <x:c r="H7" s="77" t="n">
        <x:f>G7/E7</x:f>
        <x:v>0.05766098889363516</x:v>
      </x:c>
      <x:c r="I7" s="78" t="n">
        <x:f>E7/F7</x:f>
        <x:v>1.0611892198179693</x:v>
      </x:c>
      <x:c r="J7" s="88" t="n">
        <x:f>'Paired Runs'!N7/'Paired Runs'!F7</x:f>
        <x:v>0.8829411764705882</x:v>
      </x:c>
      <x:c r="K7" s="89" t="n">
        <x:f>'Paired Runs'!O7/'Paired Runs'!G7</x:f>
        <x:v>0.68375</x:v>
      </x:c>
      <x:c r="L7" s="90" t="n">
        <x:f>J7-K7</x:f>
        <x:v>0.19919117647058826</x:v>
      </x:c>
      <x:c r="M7" s="77" t="n">
        <x:f>L7/J7</x:f>
        <x:v>0.22559960026648904</x:v>
      </x:c>
      <x:c r="N7" s="78" t="n">
        <x:f>J7/K7</x:f>
        <x:v>1.2913216474889773</x:v>
      </x:c>
      <x:c r="O7" s="95" t="n">
        <x:f>D7/C7</x:f>
        <x:v>0.9411764705882353</x:v>
      </x:c>
      <x:c r="P7" s="95" t="n">
        <x:f>N7/O7</x:f>
        <x:v>1.3720292504570384</x:v>
      </x:c>
    </x:row>
    <x:row r="8">
      <x:c r="A8" s="26" t="n">
        <x:f>'Paired Runs'!A8</x:f>
        <x:v>1</x:v>
      </x:c>
      <x:c r="B8" s="26" t="str">
        <x:f>'Paired Runs'!B8</x:f>
        <x:v>water_47</x:v>
      </x:c>
      <x:c r="C8" s="38" t="n">
        <x:f>'Paired Runs'!F8</x:f>
        <x:v>27</x:v>
      </x:c>
      <x:c r="D8" s="37" t="n">
        <x:f>'Paired Runs'!G8</x:f>
        <x:v>26</x:v>
      </x:c>
      <x:c r="E8" s="88" t="n">
        <x:f>'Paired Runs'!I8/'Paired Runs'!F8</x:f>
        <x:v>7.456666666666667</x:v>
      </x:c>
      <x:c r="F8" s="89" t="n">
        <x:f>'Paired Runs'!J8/'Paired Runs'!G8</x:f>
        <x:v>7.127692307692308</x:v>
      </x:c>
      <x:c r="G8" s="90" t="n">
        <x:f>E8-F8</x:f>
        <x:v>0.3289743589743592</x:v>
      </x:c>
      <x:c r="H8" s="77" t="n">
        <x:f>G8/E8</x:f>
        <x:v>0.044118152745779064</x:v>
      </x:c>
      <x:c r="I8" s="78" t="n">
        <x:f>E8/F8</x:f>
        <x:v>1.0461543995970934</x:v>
      </x:c>
      <x:c r="J8" s="88" t="n">
        <x:f>'Paired Runs'!N8/'Paired Runs'!F8</x:f>
        <x:v>2.0122222222222224</x:v>
      </x:c>
      <x:c r="K8" s="89" t="n">
        <x:f>'Paired Runs'!O8/'Paired Runs'!G8</x:f>
        <x:v>1.3711538461538462</x:v>
      </x:c>
      <x:c r="L8" s="90" t="n">
        <x:f>J8-K8</x:f>
        <x:v>0.6410683760683762</x:v>
      </x:c>
      <x:c r="M8" s="77" t="n">
        <x:f>L8/J8</x:f>
        <x:v>0.31858726585396935</x:v>
      </x:c>
      <x:c r="N8" s="78" t="n">
        <x:f>J8/K8</x:f>
        <x:v>1.4675393486052672</x:v>
      </x:c>
      <x:c r="O8" s="95" t="n">
        <x:f>D8/C8</x:f>
        <x:v>0.9629629629629629</x:v>
      </x:c>
      <x:c r="P8" s="95" t="n">
        <x:f>N8/O8</x:f>
        <x:v>1.52398316970547</x:v>
      </x:c>
    </x:row>
    <x:row r="9">
      <x:c r="A9" s="26" t="n">
        <x:f>'Paired Runs'!A9</x:f>
        <x:v>2</x:v>
      </x:c>
      <x:c r="B9" s="26" t="str">
        <x:f>'Paired Runs'!B9</x:f>
        <x:v>water_10</x:v>
      </x:c>
      <x:c r="C9" s="38" t="n">
        <x:f>'Paired Runs'!F9</x:f>
        <x:v>22</x:v>
      </x:c>
      <x:c r="D9" s="37" t="n">
        <x:f>'Paired Runs'!G9</x:f>
        <x:v>24</x:v>
      </x:c>
      <x:c r="E9" s="88" t="n">
        <x:f>'Paired Runs'!I9/'Paired Runs'!F9</x:f>
        <x:v>0.4786363636363636</x:v>
      </x:c>
      <x:c r="F9" s="89" t="n">
        <x:f>'Paired Runs'!J9/'Paired Runs'!G9</x:f>
        <x:v>0.4245833333333333</x:v>
      </x:c>
      <x:c r="G9" s="90" t="n">
        <x:f>E9-F9</x:f>
        <x:v>0.05405303030303027</x:v>
      </x:c>
      <x:c r="H9" s="77" t="n">
        <x:f>G9/E9</x:f>
        <x:v>0.11293130737575176</x:v>
      </x:c>
      <x:c r="I9" s="78" t="n">
        <x:f>E9/F9</x:f>
        <x:v>1.127308412882505</x:v>
      </x:c>
      <x:c r="J9" s="88" t="n">
        <x:f>'Paired Runs'!N9/'Paired Runs'!F9</x:f>
        <x:v>0.16</x:v>
      </x:c>
      <x:c r="K9" s="89" t="n">
        <x:f>'Paired Runs'!O9/'Paired Runs'!G9</x:f>
        <x:v>0.13625</x:v>
      </x:c>
      <x:c r="L9" s="90" t="n">
        <x:f>J9-K9</x:f>
        <x:v>0.023749999999999993</x:v>
      </x:c>
      <x:c r="M9" s="77" t="n">
        <x:f>L9/J9</x:f>
        <x:v>0.14843749999999994</x:v>
      </x:c>
      <x:c r="N9" s="78" t="n">
        <x:f>J9/K9</x:f>
        <x:v>1.1743119266055044</x:v>
      </x:c>
      <x:c r="O9" s="95" t="n">
        <x:f>D9/C9</x:f>
        <x:v>1.0909090909090908</x:v>
      </x:c>
      <x:c r="P9" s="95" t="n">
        <x:f>N9/O9</x:f>
        <x:v>1.0764525993883791</x:v>
      </x:c>
    </x:row>
    <x:row r="10">
      <x:c r="A10" s="26" t="n">
        <x:f>'Paired Runs'!A10</x:f>
        <x:v>2</x:v>
      </x:c>
      <x:c r="B10" s="26" t="str">
        <x:f>'Paired Runs'!B10</x:f>
        <x:v>water_20</x:v>
      </x:c>
      <x:c r="C10" s="38" t="n">
        <x:f>'Paired Runs'!F10</x:f>
        <x:v>21</x:v>
      </x:c>
      <x:c r="D10" s="37" t="n">
        <x:f>'Paired Runs'!G10</x:f>
        <x:v>24</x:v>
      </x:c>
      <x:c r="E10" s="88" t="n">
        <x:f>'Paired Runs'!I10/'Paired Runs'!F10</x:f>
        <x:v>1.558095238095238</x:v>
      </x:c>
      <x:c r="F10" s="89" t="n">
        <x:f>'Paired Runs'!J10/'Paired Runs'!G10</x:f>
        <x:v>1.2925</x:v>
      </x:c>
      <x:c r="G10" s="90" t="n">
        <x:f>E10-F10</x:f>
        <x:v>0.265595238095238</x:v>
      </x:c>
      <x:c r="H10" s="77" t="n">
        <x:f>G10/E10</x:f>
        <x:v>0.17046149144254275</x:v>
      </x:c>
      <x:c r="I10" s="78" t="n">
        <x:f>E10/F10</x:f>
        <x:v>1.2054895459150778</x:v>
      </x:c>
      <x:c r="J10" s="88" t="n">
        <x:f>'Paired Runs'!N10/'Paired Runs'!F10</x:f>
        <x:v>0.45047619047619053</x:v>
      </x:c>
      <x:c r="K10" s="89" t="n">
        <x:f>'Paired Runs'!O10/'Paired Runs'!G10</x:f>
        <x:v>0.35041666666666665</x:v>
      </x:c>
      <x:c r="L10" s="90" t="n">
        <x:f>J10-K10</x:f>
        <x:v>0.10005952380952388</x:v>
      </x:c>
      <x:c r="M10" s="77" t="n">
        <x:f>L10/J10</x:f>
        <x:v>0.22211945031712485</x:v>
      </x:c>
      <x:c r="N10" s="78" t="n">
        <x:f>J10/K10</x:f>
        <x:v>1.2855444199082726</x:v>
      </x:c>
      <x:c r="O10" s="95" t="n">
        <x:f>D10/C10</x:f>
        <x:v>1.1428571428571428</x:v>
      </x:c>
      <x:c r="P10" s="95" t="n">
        <x:f>N10/O10</x:f>
        <x:v>1.1248513674197387</x:v>
      </x:c>
    </x:row>
    <x:row r="11">
      <x:c r="A11" s="26" t="n">
        <x:f>'Paired Runs'!A11</x:f>
        <x:v>2</x:v>
      </x:c>
      <x:c r="B11" s="26" t="str">
        <x:f>'Paired Runs'!B11</x:f>
        <x:v>water_32</x:v>
      </x:c>
      <x:c r="C11" s="38" t="n">
        <x:f>'Paired Runs'!F11</x:f>
        <x:v>34</x:v>
      </x:c>
      <x:c r="D11" s="37" t="n">
        <x:f>'Paired Runs'!G11</x:f>
        <x:v>32</x:v>
      </x:c>
      <x:c r="E11" s="88" t="n">
        <x:f>'Paired Runs'!I11/'Paired Runs'!F11</x:f>
        <x:v>2.7744117647058824</x:v>
      </x:c>
      <x:c r="F11" s="89" t="n">
        <x:f>'Paired Runs'!J11/'Paired Runs'!G11</x:f>
        <x:v>2.623125</x:v>
      </x:c>
      <x:c r="G11" s="90" t="n">
        <x:f>E11-F11</x:f>
        <x:v>0.15128676470588243</x:v>
      </x:c>
      <x:c r="H11" s="77" t="n">
        <x:f>G11/E11</x:f>
        <x:v>0.05452931198982299</x:v>
      </x:c>
      <x:c r="I11" s="78" t="n">
        <x:f>E11/F11</x:f>
        <x:v>1.0576742491135125</x:v>
      </x:c>
      <x:c r="J11" s="88" t="n">
        <x:f>'Paired Runs'!N11/'Paired Runs'!F11</x:f>
        <x:v>0.8917647058823529</x:v>
      </x:c>
      <x:c r="K11" s="89" t="n">
        <x:f>'Paired Runs'!O11/'Paired Runs'!G11</x:f>
        <x:v>0.68625</x:v>
      </x:c>
      <x:c r="L11" s="90" t="n">
        <x:f>J11-K11</x:f>
        <x:v>0.20551470588235288</x:v>
      </x:c>
      <x:c r="M11" s="77" t="n">
        <x:f>L11/J11</x:f>
        <x:v>0.23045844327176776</x:v>
      </x:c>
      <x:c r="N11" s="78" t="n">
        <x:f>J11/K11</x:f>
        <x:v>1.2994749812493303</x:v>
      </x:c>
      <x:c r="O11" s="95" t="n">
        <x:f>D11/C11</x:f>
        <x:v>0.9411764705882353</x:v>
      </x:c>
      <x:c r="P11" s="95" t="n">
        <x:f>N11/O11</x:f>
        <x:v>1.3806921675774133</x:v>
      </x:c>
    </x:row>
    <x:row r="12">
      <x:c r="A12" s="26" t="n">
        <x:f>'Paired Runs'!A12</x:f>
        <x:v>2</x:v>
      </x:c>
      <x:c r="B12" s="26" t="str">
        <x:f>'Paired Runs'!B12</x:f>
        <x:v>water_47</x:v>
      </x:c>
      <x:c r="C12" s="38" t="n">
        <x:f>'Paired Runs'!F12</x:f>
        <x:v>27</x:v>
      </x:c>
      <x:c r="D12" s="37" t="n">
        <x:f>'Paired Runs'!G12</x:f>
        <x:v>26</x:v>
      </x:c>
      <x:c r="E12" s="88" t="n">
        <x:f>'Paired Runs'!I12/'Paired Runs'!F12</x:f>
        <x:v>7.558148148148148</x:v>
      </x:c>
      <x:c r="F12" s="89" t="n">
        <x:f>'Paired Runs'!J12/'Paired Runs'!G12</x:f>
        <x:v>7.155384615384615</x:v>
      </x:c>
      <x:c r="G12" s="90" t="n">
        <x:f>E12-F12</x:f>
        <x:v>0.40276353276353305</x:v>
      </x:c>
      <x:c r="H12" s="77" t="n">
        <x:f>G12/E12</x:f>
        <x:v>0.05328865283782718</x:v>
      </x:c>
      <x:c r="I12" s="78" t="n">
        <x:f>E12/F12</x:f>
        <x:v>1.0562881737897865</x:v>
      </x:c>
      <x:c r="J12" s="88" t="n">
        <x:f>'Paired Runs'!N12/'Paired Runs'!F12</x:f>
        <x:v>2.044074074074074</x:v>
      </x:c>
      <x:c r="K12" s="89" t="n">
        <x:f>'Paired Runs'!O12/'Paired Runs'!G12</x:f>
        <x:v>1.3707692307692307</x:v>
      </x:c>
      <x:c r="L12" s="90" t="n">
        <x:f>J12-K12</x:f>
        <x:v>0.6733048433048434</x:v>
      </x:c>
      <x:c r="M12" s="77" t="n">
        <x:f>L12/J12</x:f>
        <x:v>0.32939356349394405</x:v>
      </x:c>
      <x:c r="N12" s="78" t="n">
        <x:f>J12/K12</x:f>
        <x:v>1.4911875961258678</x:v>
      </x:c>
      <x:c r="O12" s="95" t="n">
        <x:f>D12/C12</x:f>
        <x:v>0.9629629629629629</x:v>
      </x:c>
      <x:c r="P12" s="95" t="n">
        <x:f>N12/O12</x:f>
        <x:v>1.548540965207632</x:v>
      </x:c>
    </x:row>
    <x:row r="13">
      <x:c r="A13" s="26" t="n">
        <x:f>'Paired Runs'!A13</x:f>
        <x:v>3</x:v>
      </x:c>
      <x:c r="B13" s="26" t="str">
        <x:f>'Paired Runs'!B13</x:f>
        <x:v>water_10</x:v>
      </x:c>
      <x:c r="C13" s="38" t="n">
        <x:f>'Paired Runs'!F13</x:f>
        <x:v>22</x:v>
      </x:c>
      <x:c r="D13" s="37" t="n">
        <x:f>'Paired Runs'!G13</x:f>
        <x:v>24</x:v>
      </x:c>
      <x:c r="E13" s="88" t="n">
        <x:f>'Paired Runs'!I13/'Paired Runs'!F13</x:f>
        <x:v>0.4722727272727273</x:v>
      </x:c>
      <x:c r="F13" s="89" t="n">
        <x:f>'Paired Runs'!J13/'Paired Runs'!G13</x:f>
        <x:v>0.42375</x:v>
      </x:c>
      <x:c r="G13" s="90" t="n">
        <x:f>E13-F13</x:f>
        <x:v>0.04852272727272727</x:v>
      </x:c>
      <x:c r="H13" s="77" t="n">
        <x:f>G13/E13</x:f>
        <x:v>0.10274302213666987</x:v>
      </x:c>
      <x:c r="I13" s="78" t="n">
        <x:f>E13/F13</x:f>
        <x:v>1.114507910968088</x:v>
      </x:c>
      <x:c r="J13" s="88" t="n">
        <x:f>'Paired Runs'!N13/'Paired Runs'!F13</x:f>
        <x:v>0.155</x:v>
      </x:c>
      <x:c r="K13" s="89" t="n">
        <x:f>'Paired Runs'!O13/'Paired Runs'!G13</x:f>
        <x:v>0.13583333333333333</x:v>
      </x:c>
      <x:c r="L13" s="90" t="n">
        <x:f>J13-K13</x:f>
        <x:v>0.019166666666666665</x:v>
      </x:c>
      <x:c r="M13" s="77" t="n">
        <x:f>L13/J13</x:f>
        <x:v>0.12365591397849461</x:v>
      </x:c>
      <x:c r="N13" s="78" t="n">
        <x:f>J13/K13</x:f>
        <x:v>1.1411042944785277</x:v>
      </x:c>
      <x:c r="O13" s="95" t="n">
        <x:f>D13/C13</x:f>
        <x:v>1.0909090909090908</x:v>
      </x:c>
      <x:c r="P13" s="95" t="n">
        <x:f>N13/O13</x:f>
        <x:v>1.0460122699386505</x:v>
      </x:c>
    </x:row>
    <x:row r="14">
      <x:c r="A14" s="26" t="n">
        <x:f>'Paired Runs'!A14</x:f>
        <x:v>3</x:v>
      </x:c>
      <x:c r="B14" s="26" t="str">
        <x:f>'Paired Runs'!B14</x:f>
        <x:v>water_20</x:v>
      </x:c>
      <x:c r="C14" s="38" t="n">
        <x:f>'Paired Runs'!F14</x:f>
        <x:v>21</x:v>
      </x:c>
      <x:c r="D14" s="37" t="n">
        <x:f>'Paired Runs'!G14</x:f>
        <x:v>24</x:v>
      </x:c>
      <x:c r="E14" s="88" t="n">
        <x:f>'Paired Runs'!I14/'Paired Runs'!F14</x:f>
        <x:v>1.5404761904761906</x:v>
      </x:c>
      <x:c r="F14" s="89" t="n">
        <x:f>'Paired Runs'!J14/'Paired Runs'!G14</x:f>
        <x:v>1.2954166666666667</x:v>
      </x:c>
      <x:c r="G14" s="90" t="n">
        <x:f>E14-F14</x:f>
        <x:v>0.2450595238095239</x:v>
      </x:c>
      <x:c r="H14" s="77" t="n">
        <x:f>G14/E14</x:f>
        <x:v>0.15908037094281302</x:v>
      </x:c>
      <x:c r="I14" s="78" t="n">
        <x:f>E14/F14</x:f>
        <x:v>1.1891742866332766</x:v>
      </x:c>
      <x:c r="J14" s="88" t="n">
        <x:f>'Paired Runs'!N14/'Paired Runs'!F14</x:f>
        <x:v>0.4442857142857143</x:v>
      </x:c>
      <x:c r="K14" s="89" t="n">
        <x:f>'Paired Runs'!O14/'Paired Runs'!G14</x:f>
        <x:v>0.34874999999999995</x:v>
      </x:c>
      <x:c r="L14" s="90" t="n">
        <x:f>J14-K14</x:f>
        <x:v>0.09553571428571433</x:v>
      </x:c>
      <x:c r="M14" s="77" t="n">
        <x:f>L14/J14</x:f>
        <x:v>0.2150321543408361</x:v>
      </x:c>
      <x:c r="N14" s="78" t="n">
        <x:f>J14/K14</x:f>
        <x:v>1.2739375320020483</x:v>
      </x:c>
      <x:c r="O14" s="95" t="n">
        <x:f>D14/C14</x:f>
        <x:v>1.1428571428571428</x:v>
      </x:c>
      <x:c r="P14" s="95" t="n">
        <x:f>N14/O14</x:f>
        <x:v>1.1146953405017923</x:v>
      </x:c>
    </x:row>
    <x:row r="15">
      <x:c r="A15" s="26" t="n">
        <x:f>'Paired Runs'!A15</x:f>
        <x:v>3</x:v>
      </x:c>
      <x:c r="B15" s="26" t="str">
        <x:f>'Paired Runs'!B15</x:f>
        <x:v>water_32</x:v>
      </x:c>
      <x:c r="C15" s="38" t="n">
        <x:f>'Paired Runs'!F15</x:f>
        <x:v>34</x:v>
      </x:c>
      <x:c r="D15" s="37" t="n">
        <x:f>'Paired Runs'!G15</x:f>
        <x:v>32</x:v>
      </x:c>
      <x:c r="E15" s="88" t="n">
        <x:f>'Paired Runs'!I15/'Paired Runs'!F15</x:f>
        <x:v>2.751470588235294</x:v>
      </x:c>
      <x:c r="F15" s="89" t="n">
        <x:f>'Paired Runs'!J15/'Paired Runs'!G15</x:f>
        <x:v>2.6065625</x:v>
      </x:c>
      <x:c r="G15" s="90" t="n">
        <x:f>E15-F15</x:f>
        <x:v>0.14490808823529422</x:v>
      </x:c>
      <x:c r="H15" s="77" t="n">
        <x:f>G15/E15</x:f>
        <x:v>0.05266568679850351</x:v>
      </x:c>
      <x:c r="I15" s="78" t="n">
        <x:f>E15/F15</x:f>
        <x:v>1.0555935598073303</x:v>
      </x:c>
      <x:c r="J15" s="88" t="n">
        <x:f>'Paired Runs'!N15/'Paired Runs'!F15</x:f>
        <x:v>0.8858823529411765</x:v>
      </x:c>
      <x:c r="K15" s="89" t="n">
        <x:f>'Paired Runs'!O15/'Paired Runs'!G15</x:f>
        <x:v>0.6825</x:v>
      </x:c>
      <x:c r="L15" s="90" t="n">
        <x:f>J15-K15</x:f>
        <x:v>0.20338235294117646</x:v>
      </x:c>
      <x:c r="M15" s="77" t="n">
        <x:f>L15/J15</x:f>
        <x:v>0.2295816733067729</x:v>
      </x:c>
      <x:c r="N15" s="78" t="n">
        <x:f>J15/K15</x:f>
        <x:v>1.2979961215255333</x:v>
      </x:c>
      <x:c r="O15" s="95" t="n">
        <x:f>D15/C15</x:f>
        <x:v>0.9411764705882353</x:v>
      </x:c>
      <x:c r="P15" s="95" t="n">
        <x:f>N15/O15</x:f>
        <x:v>1.379120879120879</x:v>
      </x:c>
    </x:row>
    <x:row r="16">
      <x:c r="A16" s="27" t="n">
        <x:f>'Paired Runs'!A16</x:f>
        <x:v>3</x:v>
      </x:c>
      <x:c r="B16" s="27" t="str">
        <x:f>'Paired Runs'!B16</x:f>
        <x:v>water_47</x:v>
      </x:c>
      <x:c r="C16" s="63" t="n">
        <x:f>'Paired Runs'!F16</x:f>
        <x:v>27</x:v>
      </x:c>
      <x:c r="D16" s="39" t="n">
        <x:f>'Paired Runs'!G16</x:f>
        <x:v>26</x:v>
      </x:c>
      <x:c r="E16" s="91" t="n">
        <x:f>'Paired Runs'!I16/'Paired Runs'!F16</x:f>
        <x:v>7.519629629629629</x:v>
      </x:c>
      <x:c r="F16" s="92" t="n">
        <x:f>'Paired Runs'!J16/'Paired Runs'!G16</x:f>
        <x:v>7.158076923076924</x:v>
      </x:c>
      <x:c r="G16" s="93" t="n">
        <x:f>E16-F16</x:f>
        <x:v>0.36155270655270577</x:v>
      </x:c>
      <x:c r="H16" s="80" t="n">
        <x:f>G16/E16</x:f>
        <x:v>0.04808118542542016</x:v>
      </x:c>
      <x:c r="I16" s="81" t="n">
        <x:f>E16/F16</x:f>
        <x:v>1.0505097542870903</x:v>
      </x:c>
      <x:c r="J16" s="91" t="n">
        <x:f>'Paired Runs'!N16/'Paired Runs'!F16</x:f>
        <x:v>2.036296296296296</x:v>
      </x:c>
      <x:c r="K16" s="92" t="n">
        <x:f>'Paired Runs'!O16/'Paired Runs'!G16</x:f>
        <x:v>1.378076923076923</x:v>
      </x:c>
      <x:c r="L16" s="93" t="n">
        <x:f>J16-K16</x:f>
        <x:v>0.6582193732193731</x:v>
      </x:c>
      <x:c r="M16" s="80" t="n">
        <x:f>L16/J16</x:f>
        <x:v>0.32324341718666927</x:v>
      </x:c>
      <x:c r="N16" s="81" t="n">
        <x:f>J16/K16</x:f>
        <x:v>1.4776361625370835</x:v>
      </x:c>
      <x:c r="O16" s="96" t="n">
        <x:f>D16/C16</x:f>
        <x:v>0.9629629629629629</x:v>
      </x:c>
      <x:c r="P16" s="96" t="n">
        <x:f>N16/O16</x:f>
        <x:v>1.5344683226346638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10" hidden="0" customWidth="1"/>
    <x:col min="4" max="4" width="16" hidden="0" customWidth="1"/>
    <x:col min="5" max="5" width="17" hidden="0" customWidth="1"/>
    <x:col min="6" max="6" width="20" hidden="0" customWidth="1"/>
    <x:col min="7" max="7" width="13" hidden="0" customWidth="1"/>
    <x:col min="8" max="8" width="13" hidden="0" customWidth="1"/>
    <x:col min="9" max="9" width="12" hidden="0" customWidth="1"/>
    <x:col min="10" max="10" width="18" hidden="0" customWidth="1"/>
    <x:col min="11" max="11" width="10" hidden="0" customWidth="1"/>
    <x:col min="12" max="12" width="9" hidden="0" customWidth="1"/>
    <x:col min="13" max="13" width="14" hidden="0" customWidth="1"/>
    <x:col min="14" max="14" width="16" hidden="0" customWidth="1"/>
    <x:col min="15" max="15" width="14" hidden="0" customWidth="1"/>
    <x:col min="16" max="16" width="15" hidden="0" customWidth="1"/>
    <x:col min="17" max="17" width="10" hidden="0" customWidth="1"/>
    <x:col min="18" max="18" width="18" hidden="0" customWidth="1"/>
    <x:col min="19" max="19" width="19" hidden="0" customWidth="1"/>
    <x:col min="20" max="20" width="18" hidden="0" customWidth="1"/>
    <x:col min="21" max="21" width="18" hidden="0" customWidth="1"/>
    <x:col min="22" max="22" width="10" hidden="0" customWidth="1"/>
    <x:col min="23" max="23" width="55" hidden="0" customWidth="1"/>
    <x:col min="24" max="24" width="10" hidden="0" customWidth="1"/>
    <x:col min="25" max="25" width="14" hidden="0" customWidth="1"/>
    <x:col min="26" max="26" width="11" hidden="0" customWidth="1"/>
  </x:cols>
  <x:sheetData>
    <x:row r="1" ht="34" customHeight="1">
      <x:c r="A1" s="3" t="str">
        <x:v>Raw benchmark records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0" customHeight="1">
      <x:c r="A2" s="7" t="str">
        <x:v>One row per measured calculation. Values are transcribed programmatically from the eight benchmark cells in each notebook; warm-up water_5 cells are excluded.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4" ht="32" customHeight="1">
      <x:c r="A4" s="18" t="str">
        <x:v>Run</x:v>
      </x:c>
      <x:c r="B4" s="19" t="str">
        <x:v>System</x:v>
      </x:c>
      <x:c r="C4" s="19" t="str">
        <x:v>H₂O count</x:v>
      </x:c>
      <x:c r="D4" s="19" t="str">
        <x:v>Dynamic precision</x:v>
      </x:c>
      <x:c r="E4" s="19" t="str">
        <x:v>Switch to double at iteration</x:v>
      </x:c>
      <x:c r="F4" s="19" t="str">
        <x:v>Total energy (Ha)</x:v>
      </x:c>
      <x:c r="G4" s="19" t="str">
        <x:v>SCF iterations</x:v>
      </x:c>
      <x:c r="H4" s="19" t="str">
        <x:v>Total time (s)</x:v>
      </x:c>
      <x:c r="I4" s="19" t="str">
        <x:v>XC time (s)</x:v>
      </x:c>
      <x:c r="J4" s="19" t="str">
        <x:v>Grid points (after pruning)</x:v>
      </x:c>
      <x:c r="K4" s="19" t="str">
        <x:v>Grid level</x:v>
      </x:c>
      <x:c r="L4" s="19" t="str">
        <x:v>Atoms</x:v>
      </x:c>
      <x:c r="M4" s="19" t="str">
        <x:v>Basis functions</x:v>
      </x:c>
      <x:c r="N4" s="19" t="str">
        <x:v>Aux basis functions</x:v>
      </x:c>
      <x:c r="O4" s="19" t="str">
        <x:v>Preprocessing (s)</x:v>
      </x:c>
      <x:c r="P4" s="19" t="str">
        <x:v>Density fitting (s)</x:v>
      </x:c>
      <x:c r="Q4" s="19" t="str">
        <x:v>DIIS (s)</x:v>
      </x:c>
      <x:c r="R4" s="19" t="str">
        <x:v>KS diagonalization (s)</x:v>
      </x:c>
      <x:c r="S4" s="19" t="str">
        <x:v>One-electron integrals (s)</x:v>
      </x:c>
      <x:c r="T4" s="19" t="str">
        <x:v>Coulomb integrals (s)</x:v>
      </x:c>
      <x:c r="U4" s="19" t="str">
        <x:v>Grid construction (s)</x:v>
      </x:c>
      <x:c r="V4" s="19" t="str">
        <x:v>Misc. (s)</x:v>
      </x:c>
      <x:c r="W4" s="19" t="str">
        <x:v>Source notebook</x:v>
      </x:c>
      <x:c r="X4" s="19" t="str">
        <x:v>Cell index</x:v>
      </x:c>
      <x:c r="Y4" s="19" t="str">
        <x:v>Execution count</x:v>
      </x:c>
      <x:c r="Z4" s="20" t="str">
        <x:v>Converged</x:v>
      </x:c>
    </x:row>
    <x:row r="5" ht="28" customHeight="1">
      <x:c r="A5" s="25" t="n">
        <x:v>1</x:v>
      </x:c>
      <x:c r="B5" s="25" t="str">
        <x:v>water_10</x:v>
      </x:c>
      <x:c r="C5" s="25" t="n">
        <x:v>10</x:v>
      </x:c>
      <x:c r="D5" s="28" t="str">
        <x:v>Off</x:v>
      </x:c>
      <x:c r="E5" s="36"/>
      <x:c r="F5" s="32" t="n">
        <x:v>-762.8609888846465</x:v>
      </x:c>
      <x:c r="G5" s="36" t="n">
        <x:v>22</x:v>
      </x:c>
      <x:c r="H5" s="40" t="n">
        <x:v>10.46</x:v>
      </x:c>
      <x:c r="I5" s="40" t="n">
        <x:v>3.42</x:v>
      </x:c>
      <x:c r="J5" s="47" t="n">
        <x:v>290210</x:v>
      </x:c>
      <x:c r="K5" s="47" t="n">
        <x:v>3</x:v>
      </x:c>
      <x:c r="L5" s="47" t="n">
        <x:v>30</x:v>
      </x:c>
      <x:c r="M5" s="47" t="n">
        <x:v>250</x:v>
      </x:c>
      <x:c r="N5" s="47" t="n">
        <x:v>850</x:v>
      </x:c>
      <x:c r="O5" s="41" t="n">
        <x:v>1.9</x:v>
      </x:c>
      <x:c r="P5" s="41" t="n">
        <x:v>0.4</x:v>
      </x:c>
      <x:c r="Q5" s="41" t="n">
        <x:v>0.07</x:v>
      </x:c>
      <x:c r="R5" s="41" t="n">
        <x:v>0.23</x:v>
      </x:c>
      <x:c r="S5" s="41" t="n">
        <x:v>0.04</x:v>
      </x:c>
      <x:c r="T5" s="41" t="n">
        <x:v>2</x:v>
      </x:c>
      <x:c r="U5" s="41" t="n">
        <x:v>0.97</x:v>
      </x:c>
      <x:c r="V5" s="41" t="n">
        <x:v>1.85</x:v>
      </x:c>
      <x:c r="W5" s="50" t="str">
        <x:v>benchmarks_tests/FINAL_Benchmarks_for_paper/Dynamic_Precision/P100/run_1_pyfock-gpu-dynamic-precision-p100.ipynb</x:v>
      </x:c>
      <x:c r="X5" s="25" t="n">
        <x:v>15</x:v>
      </x:c>
      <x:c r="Y5" s="25" t="n">
        <x:v>7</x:v>
      </x:c>
      <x:c r="Z5" s="25" t="str">
        <x:v>Yes</x:v>
      </x:c>
    </x:row>
    <x:row r="6" ht="28" customHeight="1">
      <x:c r="A6" s="26" t="n">
        <x:v>1</x:v>
      </x:c>
      <x:c r="B6" s="26" t="str">
        <x:v>water_10</x:v>
      </x:c>
      <x:c r="C6" s="26" t="n">
        <x:v>10</x:v>
      </x:c>
      <x:c r="D6" s="29" t="str">
        <x:v>On</x:v>
      </x:c>
      <x:c r="E6" s="37" t="n">
        <x:v>17</x:v>
      </x:c>
      <x:c r="F6" s="33" t="n">
        <x:v>-762.8609888904864</x:v>
      </x:c>
      <x:c r="G6" s="37" t="n">
        <x:v>24</x:v>
      </x:c>
      <x:c r="H6" s="42" t="n">
        <x:v>10.16</x:v>
      </x:c>
      <x:c r="I6" s="42" t="n">
        <x:v>3.3</x:v>
      </x:c>
      <x:c r="J6" s="48" t="n">
        <x:v>290210</x:v>
      </x:c>
      <x:c r="K6" s="48" t="n">
        <x:v>3</x:v>
      </x:c>
      <x:c r="L6" s="48" t="n">
        <x:v>30</x:v>
      </x:c>
      <x:c r="M6" s="48" t="n">
        <x:v>250</x:v>
      </x:c>
      <x:c r="N6" s="48" t="n">
        <x:v>850</x:v>
      </x:c>
      <x:c r="O6" s="43" t="n">
        <x:v>1.86</x:v>
      </x:c>
      <x:c r="P6" s="43" t="n">
        <x:v>0.43</x:v>
      </x:c>
      <x:c r="Q6" s="43" t="n">
        <x:v>0.09</x:v>
      </x:c>
      <x:c r="R6" s="43" t="n">
        <x:v>0.25</x:v>
      </x:c>
      <x:c r="S6" s="43" t="n">
        <x:v>0.04</x:v>
      </x:c>
      <x:c r="T6" s="43" t="n">
        <x:v>2</x:v>
      </x:c>
      <x:c r="U6" s="43" t="n">
        <x:v>0.95</x:v>
      </x:c>
      <x:c r="V6" s="43" t="n">
        <x:v>1.59</x:v>
      </x:c>
      <x:c r="W6" s="51" t="str">
        <x:v>benchmarks_tests/FINAL_Benchmarks_for_paper/Dynamic_Precision/P100/run_1_pyfock-gpu-dynamic-precision-p100.ipynb</x:v>
      </x:c>
      <x:c r="X6" s="26" t="n">
        <x:v>26</x:v>
      </x:c>
      <x:c r="Y6" s="26" t="n">
        <x:v>12</x:v>
      </x:c>
      <x:c r="Z6" s="26" t="str">
        <x:v>Yes</x:v>
      </x:c>
    </x:row>
    <x:row r="7" ht="28" customHeight="1">
      <x:c r="A7" s="26" t="n">
        <x:v>1</x:v>
      </x:c>
      <x:c r="B7" s="26" t="str">
        <x:v>water_20</x:v>
      </x:c>
      <x:c r="C7" s="26" t="n">
        <x:v>20</x:v>
      </x:c>
      <x:c r="D7" s="30" t="str">
        <x:v>Off</x:v>
      </x:c>
      <x:c r="E7" s="38"/>
      <x:c r="F7" s="34" t="n">
        <x:v>-1525.7903988090375</x:v>
      </x:c>
      <x:c r="G7" s="38" t="n">
        <x:v>21</x:v>
      </x:c>
      <x:c r="H7" s="44" t="n">
        <x:v>32.22</x:v>
      </x:c>
      <x:c r="I7" s="44" t="n">
        <x:v>9.3</x:v>
      </x:c>
      <x:c r="J7" s="48" t="n">
        <x:v>560702</x:v>
      </x:c>
      <x:c r="K7" s="48" t="n">
        <x:v>3</x:v>
      </x:c>
      <x:c r="L7" s="48" t="n">
        <x:v>60</x:v>
      </x:c>
      <x:c r="M7" s="48" t="n">
        <x:v>500</x:v>
      </x:c>
      <x:c r="N7" s="48" t="n">
        <x:v>1700</x:v>
      </x:c>
      <x:c r="O7" s="43" t="n">
        <x:v>7.44</x:v>
      </x:c>
      <x:c r="P7" s="43" t="n">
        <x:v>1</x:v>
      </x:c>
      <x:c r="Q7" s="43" t="n">
        <x:v>0.11</x:v>
      </x:c>
      <x:c r="R7" s="43" t="n">
        <x:v>0.41</x:v>
      </x:c>
      <x:c r="S7" s="43" t="n">
        <x:v>0.07</x:v>
      </x:c>
      <x:c r="T7" s="43" t="n">
        <x:v>2</x:v>
      </x:c>
      <x:c r="U7" s="43" t="n">
        <x:v>4.55</x:v>
      </x:c>
      <x:c r="V7" s="43" t="n">
        <x:v>3.77</x:v>
      </x:c>
      <x:c r="W7" s="51" t="str">
        <x:v>benchmarks_tests/FINAL_Benchmarks_for_paper/Dynamic_Precision/P100/run_1_pyfock-gpu-dynamic-precision-p100.ipynb</x:v>
      </x:c>
      <x:c r="X7" s="26" t="n">
        <x:v>17</x:v>
      </x:c>
      <x:c r="Y7" s="26" t="n">
        <x:v>8</x:v>
      </x:c>
      <x:c r="Z7" s="26" t="str">
        <x:v>Yes</x:v>
      </x:c>
    </x:row>
    <x:row r="8" ht="28" customHeight="1">
      <x:c r="A8" s="26" t="n">
        <x:v>1</x:v>
      </x:c>
      <x:c r="B8" s="26" t="str">
        <x:v>water_20</x:v>
      </x:c>
      <x:c r="C8" s="26" t="n">
        <x:v>20</x:v>
      </x:c>
      <x:c r="D8" s="29" t="str">
        <x:v>On</x:v>
      </x:c>
      <x:c r="E8" s="37" t="n">
        <x:v>17</x:v>
      </x:c>
      <x:c r="F8" s="33" t="n">
        <x:v>-1525.7903989377019</x:v>
      </x:c>
      <x:c r="G8" s="37" t="n">
        <x:v>24</x:v>
      </x:c>
      <x:c r="H8" s="42" t="n">
        <x:v>31.01</x:v>
      </x:c>
      <x:c r="I8" s="42" t="n">
        <x:v>8.45</x:v>
      </x:c>
      <x:c r="J8" s="48" t="n">
        <x:v>560702</x:v>
      </x:c>
      <x:c r="K8" s="48" t="n">
        <x:v>3</x:v>
      </x:c>
      <x:c r="L8" s="48" t="n">
        <x:v>60</x:v>
      </x:c>
      <x:c r="M8" s="48" t="n">
        <x:v>500</x:v>
      </x:c>
      <x:c r="N8" s="48" t="n">
        <x:v>1700</x:v>
      </x:c>
      <x:c r="O8" s="43" t="n">
        <x:v>7.22</x:v>
      </x:c>
      <x:c r="P8" s="43" t="n">
        <x:v>1.09</x:v>
      </x:c>
      <x:c r="Q8" s="43" t="n">
        <x:v>0.12</x:v>
      </x:c>
      <x:c r="R8" s="43" t="n">
        <x:v>0.48</x:v>
      </x:c>
      <x:c r="S8" s="43" t="n">
        <x:v>0.1</x:v>
      </x:c>
      <x:c r="T8" s="43" t="n">
        <x:v>2</x:v>
      </x:c>
      <x:c r="U8" s="43" t="n">
        <x:v>4.54</x:v>
      </x:c>
      <x:c r="V8" s="43" t="n">
        <x:v>3.43</x:v>
      </x:c>
      <x:c r="W8" s="51" t="str">
        <x:v>benchmarks_tests/FINAL_Benchmarks_for_paper/Dynamic_Precision/P100/run_1_pyfock-gpu-dynamic-precision-p100.ipynb</x:v>
      </x:c>
      <x:c r="X8" s="26" t="n">
        <x:v>28</x:v>
      </x:c>
      <x:c r="Y8" s="26" t="n">
        <x:v>13</x:v>
      </x:c>
      <x:c r="Z8" s="26" t="str">
        <x:v>Yes</x:v>
      </x:c>
    </x:row>
    <x:row r="9" ht="28" customHeight="1">
      <x:c r="A9" s="26" t="n">
        <x:v>1</x:v>
      </x:c>
      <x:c r="B9" s="26" t="str">
        <x:v>water_32</x:v>
      </x:c>
      <x:c r="C9" s="26" t="n">
        <x:v>32</x:v>
      </x:c>
      <x:c r="D9" s="30" t="str">
        <x:v>Off</x:v>
      </x:c>
      <x:c r="E9" s="38"/>
      <x:c r="F9" s="34" t="n">
        <x:v>-2441.350220620212</x:v>
      </x:c>
      <x:c r="G9" s="38" t="n">
        <x:v>34</x:v>
      </x:c>
      <x:c r="H9" s="44" t="n">
        <x:v>93.64</x:v>
      </x:c>
      <x:c r="I9" s="44" t="n">
        <x:v>30.02</x:v>
      </x:c>
      <x:c r="J9" s="48" t="n">
        <x:v>884616</x:v>
      </x:c>
      <x:c r="K9" s="48" t="n">
        <x:v>3</x:v>
      </x:c>
      <x:c r="L9" s="48" t="n">
        <x:v>96</x:v>
      </x:c>
      <x:c r="M9" s="48" t="n">
        <x:v>800</x:v>
      </x:c>
      <x:c r="N9" s="48" t="n">
        <x:v>2720</x:v>
      </x:c>
      <x:c r="O9" s="43" t="n">
        <x:v>20.78</x:v>
      </x:c>
      <x:c r="P9" s="43" t="n">
        <x:v>3.47</x:v>
      </x:c>
      <x:c r="Q9" s="43" t="n">
        <x:v>0.25</x:v>
      </x:c>
      <x:c r="R9" s="43" t="n">
        <x:v>1.24</x:v>
      </x:c>
      <x:c r="S9" s="43" t="n">
        <x:v>0.11</x:v>
      </x:c>
      <x:c r="T9" s="43" t="n">
        <x:v>2</x:v>
      </x:c>
      <x:c r="U9" s="43" t="n">
        <x:v>16.01</x:v>
      </x:c>
      <x:c r="V9" s="43" t="n">
        <x:v>7.32</x:v>
      </x:c>
      <x:c r="W9" s="51" t="str">
        <x:v>benchmarks_tests/FINAL_Benchmarks_for_paper/Dynamic_Precision/P100/run_1_pyfock-gpu-dynamic-precision-p100.ipynb</x:v>
      </x:c>
      <x:c r="X9" s="26" t="n">
        <x:v>19</x:v>
      </x:c>
      <x:c r="Y9" s="26" t="n">
        <x:v>9</x:v>
      </x:c>
      <x:c r="Z9" s="26" t="str">
        <x:v>Yes</x:v>
      </x:c>
    </x:row>
    <x:row r="10" ht="28" customHeight="1">
      <x:c r="A10" s="26" t="n">
        <x:v>1</x:v>
      </x:c>
      <x:c r="B10" s="26" t="str">
        <x:v>water_32</x:v>
      </x:c>
      <x:c r="C10" s="26" t="n">
        <x:v>32</x:v>
      </x:c>
      <x:c r="D10" s="29" t="str">
        <x:v>On</x:v>
      </x:c>
      <x:c r="E10" s="37" t="n">
        <x:v>22</x:v>
      </x:c>
      <x:c r="F10" s="33" t="n">
        <x:v>-2441.35022060544</x:v>
      </x:c>
      <x:c r="G10" s="37" t="n">
        <x:v>32</x:v>
      </x:c>
      <x:c r="H10" s="42" t="n">
        <x:v>83.05</x:v>
      </x:c>
      <x:c r="I10" s="42" t="n">
        <x:v>21.88</x:v>
      </x:c>
      <x:c r="J10" s="48" t="n">
        <x:v>884616</x:v>
      </x:c>
      <x:c r="K10" s="48" t="n">
        <x:v>3</x:v>
      </x:c>
      <x:c r="L10" s="48" t="n">
        <x:v>96</x:v>
      </x:c>
      <x:c r="M10" s="48" t="n">
        <x:v>800</x:v>
      </x:c>
      <x:c r="N10" s="48" t="n">
        <x:v>2720</x:v>
      </x:c>
      <x:c r="O10" s="43" t="n">
        <x:v>20.5</x:v>
      </x:c>
      <x:c r="P10" s="43" t="n">
        <x:v>3.03</x:v>
      </x:c>
      <x:c r="Q10" s="43" t="n">
        <x:v>0.23</x:v>
      </x:c>
      <x:c r="R10" s="43" t="n">
        <x:v>1.17</x:v>
      </x:c>
      <x:c r="S10" s="43" t="n">
        <x:v>0.11</x:v>
      </x:c>
      <x:c r="T10" s="43" t="n">
        <x:v>2</x:v>
      </x:c>
      <x:c r="U10" s="43" t="n">
        <x:v>15.86</x:v>
      </x:c>
      <x:c r="V10" s="43" t="n">
        <x:v>6.17</x:v>
      </x:c>
      <x:c r="W10" s="51" t="str">
        <x:v>benchmarks_tests/FINAL_Benchmarks_for_paper/Dynamic_Precision/P100/run_1_pyfock-gpu-dynamic-precision-p100.ipynb</x:v>
      </x:c>
      <x:c r="X10" s="26" t="n">
        <x:v>30</x:v>
      </x:c>
      <x:c r="Y10" s="26" t="n">
        <x:v>14</x:v>
      </x:c>
      <x:c r="Z10" s="26" t="str">
        <x:v>Yes</x:v>
      </x:c>
    </x:row>
    <x:row r="11" ht="28" customHeight="1">
      <x:c r="A11" s="26" t="n">
        <x:v>1</x:v>
      </x:c>
      <x:c r="B11" s="26" t="str">
        <x:v>water_47</x:v>
      </x:c>
      <x:c r="C11" s="26" t="n">
        <x:v>47</x:v>
      </x:c>
      <x:c r="D11" s="30" t="str">
        <x:v>Off</x:v>
      </x:c>
      <x:c r="E11" s="38"/>
      <x:c r="F11" s="34" t="n">
        <x:v>-3585.736596697372</x:v>
      </x:c>
      <x:c r="G11" s="38" t="n">
        <x:v>27</x:v>
      </x:c>
      <x:c r="H11" s="44" t="n">
        <x:v>201.33</x:v>
      </x:c>
      <x:c r="I11" s="44" t="n">
        <x:v>54.33</x:v>
      </x:c>
      <x:c r="J11" s="48" t="n">
        <x:v>1287189</x:v>
      </x:c>
      <x:c r="K11" s="48" t="n">
        <x:v>3</x:v>
      </x:c>
      <x:c r="L11" s="48" t="n">
        <x:v>141</x:v>
      </x:c>
      <x:c r="M11" s="48" t="n">
        <x:v>1175</x:v>
      </x:c>
      <x:c r="N11" s="48" t="n">
        <x:v>3995</x:v>
      </x:c>
      <x:c r="O11" s="43" t="n">
        <x:v>53.35</x:v>
      </x:c>
      <x:c r="P11" s="43" t="n">
        <x:v>4.95</x:v>
      </x:c>
      <x:c r="Q11" s="43" t="n">
        <x:v>0.5</x:v>
      </x:c>
      <x:c r="R11" s="43" t="n">
        <x:v>1.99</x:v>
      </x:c>
      <x:c r="S11" s="43" t="n">
        <x:v>0.17</x:v>
      </x:c>
      <x:c r="T11" s="43" t="n">
        <x:v>2</x:v>
      </x:c>
      <x:c r="U11" s="43" t="n">
        <x:v>48.73</x:v>
      </x:c>
      <x:c r="V11" s="43" t="n">
        <x:v>5.78</x:v>
      </x:c>
      <x:c r="W11" s="51" t="str">
        <x:v>benchmarks_tests/FINAL_Benchmarks_for_paper/Dynamic_Precision/P100/run_1_pyfock-gpu-dynamic-precision-p100.ipynb</x:v>
      </x:c>
      <x:c r="X11" s="26" t="n">
        <x:v>21</x:v>
      </x:c>
      <x:c r="Y11" s="26" t="n">
        <x:v>10</x:v>
      </x:c>
      <x:c r="Z11" s="26" t="str">
        <x:v>Yes</x:v>
      </x:c>
    </x:row>
    <x:row r="12" ht="28" customHeight="1">
      <x:c r="A12" s="26" t="n">
        <x:v>1</x:v>
      </x:c>
      <x:c r="B12" s="26" t="str">
        <x:v>water_47</x:v>
      </x:c>
      <x:c r="C12" s="26" t="n">
        <x:v>47</x:v>
      </x:c>
      <x:c r="D12" s="29" t="str">
        <x:v>On</x:v>
      </x:c>
      <x:c r="E12" s="37" t="n">
        <x:v>19</x:v>
      </x:c>
      <x:c r="F12" s="33" t="n">
        <x:v>-3585.73659670718</x:v>
      </x:c>
      <x:c r="G12" s="37" t="n">
        <x:v>26</x:v>
      </x:c>
      <x:c r="H12" s="42" t="n">
        <x:v>185.32</x:v>
      </x:c>
      <x:c r="I12" s="42" t="n">
        <x:v>35.65</x:v>
      </x:c>
      <x:c r="J12" s="48" t="n">
        <x:v>1287189</x:v>
      </x:c>
      <x:c r="K12" s="48" t="n">
        <x:v>3</x:v>
      </x:c>
      <x:c r="L12" s="48" t="n">
        <x:v>141</x:v>
      </x:c>
      <x:c r="M12" s="48" t="n">
        <x:v>1175</x:v>
      </x:c>
      <x:c r="N12" s="48" t="n">
        <x:v>3995</x:v>
      </x:c>
      <x:c r="O12" s="43" t="n">
        <x:v>53.52</x:v>
      </x:c>
      <x:c r="P12" s="43" t="n">
        <x:v>4.7</x:v>
      </x:c>
      <x:c r="Q12" s="43" t="n">
        <x:v>0.47</x:v>
      </x:c>
      <x:c r="R12" s="43" t="n">
        <x:v>1.9</x:v>
      </x:c>
      <x:c r="S12" s="43" t="n">
        <x:v>0.16</x:v>
      </x:c>
      <x:c r="T12" s="43" t="n">
        <x:v>2</x:v>
      </x:c>
      <x:c r="U12" s="43" t="n">
        <x:v>48.79</x:v>
      </x:c>
      <x:c r="V12" s="43" t="n">
        <x:v>8.1</x:v>
      </x:c>
      <x:c r="W12" s="51" t="str">
        <x:v>benchmarks_tests/FINAL_Benchmarks_for_paper/Dynamic_Precision/P100/run_1_pyfock-gpu-dynamic-precision-p100.ipynb</x:v>
      </x:c>
      <x:c r="X12" s="26" t="n">
        <x:v>32</x:v>
      </x:c>
      <x:c r="Y12" s="26" t="n">
        <x:v>15</x:v>
      </x:c>
      <x:c r="Z12" s="26" t="str">
        <x:v>Yes</x:v>
      </x:c>
    </x:row>
    <x:row r="13" ht="28" customHeight="1">
      <x:c r="A13" s="26" t="n">
        <x:v>2</x:v>
      </x:c>
      <x:c r="B13" s="26" t="str">
        <x:v>water_10</x:v>
      </x:c>
      <x:c r="C13" s="26" t="n">
        <x:v>10</x:v>
      </x:c>
      <x:c r="D13" s="30" t="str">
        <x:v>Off</x:v>
      </x:c>
      <x:c r="E13" s="38"/>
      <x:c r="F13" s="34" t="n">
        <x:v>-762.8609888846479</x:v>
      </x:c>
      <x:c r="G13" s="38" t="n">
        <x:v>22</x:v>
      </x:c>
      <x:c r="H13" s="44" t="n">
        <x:v>10.53</x:v>
      </x:c>
      <x:c r="I13" s="44" t="n">
        <x:v>3.52</x:v>
      </x:c>
      <x:c r="J13" s="48" t="n">
        <x:v>290210</x:v>
      </x:c>
      <x:c r="K13" s="48" t="n">
        <x:v>3</x:v>
      </x:c>
      <x:c r="L13" s="48" t="n">
        <x:v>30</x:v>
      </x:c>
      <x:c r="M13" s="48" t="n">
        <x:v>250</x:v>
      </x:c>
      <x:c r="N13" s="48" t="n">
        <x:v>850</x:v>
      </x:c>
      <x:c r="O13" s="43" t="n">
        <x:v>1.91</x:v>
      </x:c>
      <x:c r="P13" s="43" t="n">
        <x:v>0.4</x:v>
      </x:c>
      <x:c r="Q13" s="43" t="n">
        <x:v>0.08</x:v>
      </x:c>
      <x:c r="R13" s="43" t="n">
        <x:v>0.23</x:v>
      </x:c>
      <x:c r="S13" s="43" t="n">
        <x:v>0.04</x:v>
      </x:c>
      <x:c r="T13" s="43" t="n">
        <x:v>2</x:v>
      </x:c>
      <x:c r="U13" s="43" t="n">
        <x:v>0.96</x:v>
      </x:c>
      <x:c r="V13" s="43" t="n">
        <x:v>1.81</x:v>
      </x:c>
      <x:c r="W13" s="51" t="str">
        <x:v>benchmarks_tests/FINAL_Benchmarks_for_paper/Dynamic_Precision/P100/run_2_pyfock-gpu-dynamic-precision-p100.ipynb</x:v>
      </x:c>
      <x:c r="X13" s="26" t="n">
        <x:v>15</x:v>
      </x:c>
      <x:c r="Y13" s="26" t="n">
        <x:v>7</x:v>
      </x:c>
      <x:c r="Z13" s="26" t="str">
        <x:v>Yes</x:v>
      </x:c>
    </x:row>
    <x:row r="14" ht="28" customHeight="1">
      <x:c r="A14" s="26" t="n">
        <x:v>2</x:v>
      </x:c>
      <x:c r="B14" s="26" t="str">
        <x:v>water_10</x:v>
      </x:c>
      <x:c r="C14" s="26" t="n">
        <x:v>10</x:v>
      </x:c>
      <x:c r="D14" s="29" t="str">
        <x:v>On</x:v>
      </x:c>
      <x:c r="E14" s="37" t="n">
        <x:v>17</x:v>
      </x:c>
      <x:c r="F14" s="33" t="n">
        <x:v>-762.8609888904864</x:v>
      </x:c>
      <x:c r="G14" s="37" t="n">
        <x:v>24</x:v>
      </x:c>
      <x:c r="H14" s="42" t="n">
        <x:v>10.19</x:v>
      </x:c>
      <x:c r="I14" s="42" t="n">
        <x:v>3.27</x:v>
      </x:c>
      <x:c r="J14" s="48" t="n">
        <x:v>290210</x:v>
      </x:c>
      <x:c r="K14" s="48" t="n">
        <x:v>3</x:v>
      </x:c>
      <x:c r="L14" s="48" t="n">
        <x:v>30</x:v>
      </x:c>
      <x:c r="M14" s="48" t="n">
        <x:v>250</x:v>
      </x:c>
      <x:c r="N14" s="48" t="n">
        <x:v>850</x:v>
      </x:c>
      <x:c r="O14" s="43" t="n">
        <x:v>2</x:v>
      </x:c>
      <x:c r="P14" s="43" t="n">
        <x:v>0.42</x:v>
      </x:c>
      <x:c r="Q14" s="43" t="n">
        <x:v>0.09</x:v>
      </x:c>
      <x:c r="R14" s="43" t="n">
        <x:v>0.25</x:v>
      </x:c>
      <x:c r="S14" s="43" t="n">
        <x:v>0.04</x:v>
      </x:c>
      <x:c r="T14" s="43" t="n">
        <x:v>2</x:v>
      </x:c>
      <x:c r="U14" s="43" t="n">
        <x:v>0.98</x:v>
      </x:c>
      <x:c r="V14" s="43" t="n">
        <x:v>1.58</x:v>
      </x:c>
      <x:c r="W14" s="51" t="str">
        <x:v>benchmarks_tests/FINAL_Benchmarks_for_paper/Dynamic_Precision/P100/run_2_pyfock-gpu-dynamic-precision-p100.ipynb</x:v>
      </x:c>
      <x:c r="X14" s="26" t="n">
        <x:v>26</x:v>
      </x:c>
      <x:c r="Y14" s="26" t="n">
        <x:v>12</x:v>
      </x:c>
      <x:c r="Z14" s="26" t="str">
        <x:v>Yes</x:v>
      </x:c>
    </x:row>
    <x:row r="15" ht="28" customHeight="1">
      <x:c r="A15" s="26" t="n">
        <x:v>2</x:v>
      </x:c>
      <x:c r="B15" s="26" t="str">
        <x:v>water_20</x:v>
      </x:c>
      <x:c r="C15" s="26" t="n">
        <x:v>20</x:v>
      </x:c>
      <x:c r="D15" s="30" t="str">
        <x:v>Off</x:v>
      </x:c>
      <x:c r="E15" s="38"/>
      <x:c r="F15" s="34" t="n">
        <x:v>-1525.7903988090343</x:v>
      </x:c>
      <x:c r="G15" s="38" t="n">
        <x:v>21</x:v>
      </x:c>
      <x:c r="H15" s="44" t="n">
        <x:v>32.72</x:v>
      </x:c>
      <x:c r="I15" s="44" t="n">
        <x:v>9.46</x:v>
      </x:c>
      <x:c r="J15" s="48" t="n">
        <x:v>560702</x:v>
      </x:c>
      <x:c r="K15" s="48" t="n">
        <x:v>3</x:v>
      </x:c>
      <x:c r="L15" s="48" t="n">
        <x:v>60</x:v>
      </x:c>
      <x:c r="M15" s="48" t="n">
        <x:v>500</x:v>
      </x:c>
      <x:c r="N15" s="48" t="n">
        <x:v>1700</x:v>
      </x:c>
      <x:c r="O15" s="43" t="n">
        <x:v>7.57</x:v>
      </x:c>
      <x:c r="P15" s="43" t="n">
        <x:v>0.98</x:v>
      </x:c>
      <x:c r="Q15" s="43" t="n">
        <x:v>0.11</x:v>
      </x:c>
      <x:c r="R15" s="43" t="n">
        <x:v>0.42</x:v>
      </x:c>
      <x:c r="S15" s="43" t="n">
        <x:v>0.07</x:v>
      </x:c>
      <x:c r="T15" s="43" t="n">
        <x:v>2</x:v>
      </x:c>
      <x:c r="U15" s="43" t="n">
        <x:v>4.61</x:v>
      </x:c>
      <x:c r="V15" s="43" t="n">
        <x:v>3.9</x:v>
      </x:c>
      <x:c r="W15" s="51" t="str">
        <x:v>benchmarks_tests/FINAL_Benchmarks_for_paper/Dynamic_Precision/P100/run_2_pyfock-gpu-dynamic-precision-p100.ipynb</x:v>
      </x:c>
      <x:c r="X15" s="26" t="n">
        <x:v>17</x:v>
      </x:c>
      <x:c r="Y15" s="26" t="n">
        <x:v>8</x:v>
      </x:c>
      <x:c r="Z15" s="26" t="str">
        <x:v>Yes</x:v>
      </x:c>
    </x:row>
    <x:row r="16" ht="28" customHeight="1">
      <x:c r="A16" s="26" t="n">
        <x:v>2</x:v>
      </x:c>
      <x:c r="B16" s="26" t="str">
        <x:v>water_20</x:v>
      </x:c>
      <x:c r="C16" s="26" t="n">
        <x:v>20</x:v>
      </x:c>
      <x:c r="D16" s="29" t="str">
        <x:v>On</x:v>
      </x:c>
      <x:c r="E16" s="37" t="n">
        <x:v>17</x:v>
      </x:c>
      <x:c r="F16" s="33" t="n">
        <x:v>-1525.790398937701</x:v>
      </x:c>
      <x:c r="G16" s="37" t="n">
        <x:v>24</x:v>
      </x:c>
      <x:c r="H16" s="42" t="n">
        <x:v>31.02</x:v>
      </x:c>
      <x:c r="I16" s="42" t="n">
        <x:v>8.41</x:v>
      </x:c>
      <x:c r="J16" s="48" t="n">
        <x:v>560702</x:v>
      </x:c>
      <x:c r="K16" s="48" t="n">
        <x:v>3</x:v>
      </x:c>
      <x:c r="L16" s="48" t="n">
        <x:v>60</x:v>
      </x:c>
      <x:c r="M16" s="48" t="n">
        <x:v>500</x:v>
      </x:c>
      <x:c r="N16" s="48" t="n">
        <x:v>1700</x:v>
      </x:c>
      <x:c r="O16" s="43" t="n">
        <x:v>7.47</x:v>
      </x:c>
      <x:c r="P16" s="43" t="n">
        <x:v>1.1</x:v>
      </x:c>
      <x:c r="Q16" s="43" t="n">
        <x:v>0.13</x:v>
      </x:c>
      <x:c r="R16" s="43" t="n">
        <x:v>0.48</x:v>
      </x:c>
      <x:c r="S16" s="43" t="n">
        <x:v>0.07</x:v>
      </x:c>
      <x:c r="T16" s="43" t="n">
        <x:v>2</x:v>
      </x:c>
      <x:c r="U16" s="43" t="n">
        <x:v>4.52</x:v>
      </x:c>
      <x:c r="V16" s="43" t="n">
        <x:v>3.38</x:v>
      </x:c>
      <x:c r="W16" s="51" t="str">
        <x:v>benchmarks_tests/FINAL_Benchmarks_for_paper/Dynamic_Precision/P100/run_2_pyfock-gpu-dynamic-precision-p100.ipynb</x:v>
      </x:c>
      <x:c r="X16" s="26" t="n">
        <x:v>28</x:v>
      </x:c>
      <x:c r="Y16" s="26" t="n">
        <x:v>13</x:v>
      </x:c>
      <x:c r="Z16" s="26" t="str">
        <x:v>Yes</x:v>
      </x:c>
    </x:row>
    <x:row r="17" ht="28" customHeight="1">
      <x:c r="A17" s="26" t="n">
        <x:v>2</x:v>
      </x:c>
      <x:c r="B17" s="26" t="str">
        <x:v>water_32</x:v>
      </x:c>
      <x:c r="C17" s="26" t="n">
        <x:v>32</x:v>
      </x:c>
      <x:c r="D17" s="30" t="str">
        <x:v>Off</x:v>
      </x:c>
      <x:c r="E17" s="38"/>
      <x:c r="F17" s="34" t="n">
        <x:v>-2441.350220620213</x:v>
      </x:c>
      <x:c r="G17" s="38" t="n">
        <x:v>34</x:v>
      </x:c>
      <x:c r="H17" s="44" t="n">
        <x:v>94.33</x:v>
      </x:c>
      <x:c r="I17" s="44" t="n">
        <x:v>30.32</x:v>
      </x:c>
      <x:c r="J17" s="48" t="n">
        <x:v>884616</x:v>
      </x:c>
      <x:c r="K17" s="48" t="n">
        <x:v>3</x:v>
      </x:c>
      <x:c r="L17" s="48" t="n">
        <x:v>96</x:v>
      </x:c>
      <x:c r="M17" s="48" t="n">
        <x:v>800</x:v>
      </x:c>
      <x:c r="N17" s="48" t="n">
        <x:v>2720</x:v>
      </x:c>
      <x:c r="O17" s="43" t="n">
        <x:v>21.28</x:v>
      </x:c>
      <x:c r="P17" s="43" t="n">
        <x:v>3.44</x:v>
      </x:c>
      <x:c r="Q17" s="43" t="n">
        <x:v>0.25</x:v>
      </x:c>
      <x:c r="R17" s="43" t="n">
        <x:v>1.24</x:v>
      </x:c>
      <x:c r="S17" s="43" t="n">
        <x:v>0.11</x:v>
      </x:c>
      <x:c r="T17" s="43" t="n">
        <x:v>2</x:v>
      </x:c>
      <x:c r="U17" s="43" t="n">
        <x:v>16.05</x:v>
      </x:c>
      <x:c r="V17" s="43" t="n">
        <x:v>7.26</x:v>
      </x:c>
      <x:c r="W17" s="51" t="str">
        <x:v>benchmarks_tests/FINAL_Benchmarks_for_paper/Dynamic_Precision/P100/run_2_pyfock-gpu-dynamic-precision-p100.ipynb</x:v>
      </x:c>
      <x:c r="X17" s="26" t="n">
        <x:v>19</x:v>
      </x:c>
      <x:c r="Y17" s="26" t="n">
        <x:v>9</x:v>
      </x:c>
      <x:c r="Z17" s="26" t="str">
        <x:v>Yes</x:v>
      </x:c>
    </x:row>
    <x:row r="18" ht="28" customHeight="1">
      <x:c r="A18" s="26" t="n">
        <x:v>2</x:v>
      </x:c>
      <x:c r="B18" s="26" t="str">
        <x:v>water_32</x:v>
      </x:c>
      <x:c r="C18" s="26" t="n">
        <x:v>32</x:v>
      </x:c>
      <x:c r="D18" s="29" t="str">
        <x:v>On</x:v>
      </x:c>
      <x:c r="E18" s="37" t="n">
        <x:v>22</x:v>
      </x:c>
      <x:c r="F18" s="33" t="n">
        <x:v>-2441.35022060543</x:v>
      </x:c>
      <x:c r="G18" s="37" t="n">
        <x:v>32</x:v>
      </x:c>
      <x:c r="H18" s="42" t="n">
        <x:v>83.94</x:v>
      </x:c>
      <x:c r="I18" s="42" t="n">
        <x:v>21.96</x:v>
      </x:c>
      <x:c r="J18" s="48" t="n">
        <x:v>884616</x:v>
      </x:c>
      <x:c r="K18" s="48" t="n">
        <x:v>3</x:v>
      </x:c>
      <x:c r="L18" s="48" t="n">
        <x:v>96</x:v>
      </x:c>
      <x:c r="M18" s="48" t="n">
        <x:v>800</x:v>
      </x:c>
      <x:c r="N18" s="48" t="n">
        <x:v>2720</x:v>
      </x:c>
      <x:c r="O18" s="43" t="n">
        <x:v>20.95</x:v>
      </x:c>
      <x:c r="P18" s="43" t="n">
        <x:v>3</x:v>
      </x:c>
      <x:c r="Q18" s="43" t="n">
        <x:v>0.23</x:v>
      </x:c>
      <x:c r="R18" s="43" t="n">
        <x:v>1.16</x:v>
      </x:c>
      <x:c r="S18" s="43" t="n">
        <x:v>0.11</x:v>
      </x:c>
      <x:c r="T18" s="43" t="n">
        <x:v>2</x:v>
      </x:c>
      <x:c r="U18" s="43" t="n">
        <x:v>16.12</x:v>
      </x:c>
      <x:c r="V18" s="43" t="n">
        <x:v>6.17</x:v>
      </x:c>
      <x:c r="W18" s="51" t="str">
        <x:v>benchmarks_tests/FINAL_Benchmarks_for_paper/Dynamic_Precision/P100/run_2_pyfock-gpu-dynamic-precision-p100.ipynb</x:v>
      </x:c>
      <x:c r="X18" s="26" t="n">
        <x:v>30</x:v>
      </x:c>
      <x:c r="Y18" s="26" t="n">
        <x:v>14</x:v>
      </x:c>
      <x:c r="Z18" s="26" t="str">
        <x:v>Yes</x:v>
      </x:c>
    </x:row>
    <x:row r="19" ht="28" customHeight="1">
      <x:c r="A19" s="26" t="n">
        <x:v>2</x:v>
      </x:c>
      <x:c r="B19" s="26" t="str">
        <x:v>water_47</x:v>
      </x:c>
      <x:c r="C19" s="26" t="n">
        <x:v>47</x:v>
      </x:c>
      <x:c r="D19" s="30" t="str">
        <x:v>Off</x:v>
      </x:c>
      <x:c r="E19" s="38"/>
      <x:c r="F19" s="34" t="n">
        <x:v>-3585.736596697361</x:v>
      </x:c>
      <x:c r="G19" s="38" t="n">
        <x:v>27</x:v>
      </x:c>
      <x:c r="H19" s="44" t="n">
        <x:v>204.07</x:v>
      </x:c>
      <x:c r="I19" s="44" t="n">
        <x:v>55.19</x:v>
      </x:c>
      <x:c r="J19" s="48" t="n">
        <x:v>1287189</x:v>
      </x:c>
      <x:c r="K19" s="48" t="n">
        <x:v>3</x:v>
      </x:c>
      <x:c r="L19" s="48" t="n">
        <x:v>141</x:v>
      </x:c>
      <x:c r="M19" s="48" t="n">
        <x:v>1175</x:v>
      </x:c>
      <x:c r="N19" s="48" t="n">
        <x:v>3995</x:v>
      </x:c>
      <x:c r="O19" s="43" t="n">
        <x:v>54.68</x:v>
      </x:c>
      <x:c r="P19" s="43" t="n">
        <x:v>4.88</x:v>
      </x:c>
      <x:c r="Q19" s="43" t="n">
        <x:v>0.5</x:v>
      </x:c>
      <x:c r="R19" s="43" t="n">
        <x:v>1.99</x:v>
      </x:c>
      <x:c r="S19" s="43" t="n">
        <x:v>0.16</x:v>
      </x:c>
      <x:c r="T19" s="43" t="n">
        <x:v>2</x:v>
      </x:c>
      <x:c r="U19" s="43" t="n">
        <x:v>49.26</x:v>
      </x:c>
      <x:c r="V19" s="43" t="n">
        <x:v>5.78</x:v>
      </x:c>
      <x:c r="W19" s="51" t="str">
        <x:v>benchmarks_tests/FINAL_Benchmarks_for_paper/Dynamic_Precision/P100/run_2_pyfock-gpu-dynamic-precision-p100.ipynb</x:v>
      </x:c>
      <x:c r="X19" s="26" t="n">
        <x:v>21</x:v>
      </x:c>
      <x:c r="Y19" s="26" t="n">
        <x:v>10</x:v>
      </x:c>
      <x:c r="Z19" s="26" t="str">
        <x:v>Yes</x:v>
      </x:c>
    </x:row>
    <x:row r="20" ht="28" customHeight="1">
      <x:c r="A20" s="26" t="n">
        <x:v>2</x:v>
      </x:c>
      <x:c r="B20" s="26" t="str">
        <x:v>water_47</x:v>
      </x:c>
      <x:c r="C20" s="26" t="n">
        <x:v>47</x:v>
      </x:c>
      <x:c r="D20" s="29" t="str">
        <x:v>On</x:v>
      </x:c>
      <x:c r="E20" s="37" t="n">
        <x:v>19</x:v>
      </x:c>
      <x:c r="F20" s="33" t="n">
        <x:v>-3585.736596707189</x:v>
      </x:c>
      <x:c r="G20" s="37" t="n">
        <x:v>26</x:v>
      </x:c>
      <x:c r="H20" s="42" t="n">
        <x:v>186.04</x:v>
      </x:c>
      <x:c r="I20" s="42" t="n">
        <x:v>35.64</x:v>
      </x:c>
      <x:c r="J20" s="48" t="n">
        <x:v>1287189</x:v>
      </x:c>
      <x:c r="K20" s="48" t="n">
        <x:v>3</x:v>
      </x:c>
      <x:c r="L20" s="48" t="n">
        <x:v>141</x:v>
      </x:c>
      <x:c r="M20" s="48" t="n">
        <x:v>1175</x:v>
      </x:c>
      <x:c r="N20" s="48" t="n">
        <x:v>3995</x:v>
      </x:c>
      <x:c r="O20" s="43" t="n">
        <x:v>54.39</x:v>
      </x:c>
      <x:c r="P20" s="43" t="n">
        <x:v>4.68</x:v>
      </x:c>
      <x:c r="Q20" s="43" t="n">
        <x:v>0.47</x:v>
      </x:c>
      <x:c r="R20" s="43" t="n">
        <x:v>1.9</x:v>
      </x:c>
      <x:c r="S20" s="43" t="n">
        <x:v>0.17</x:v>
      </x:c>
      <x:c r="T20" s="43" t="n">
        <x:v>2</x:v>
      </x:c>
      <x:c r="U20" s="43" t="n">
        <x:v>49.57</x:v>
      </x:c>
      <x:c r="V20" s="43" t="n">
        <x:v>7.28</x:v>
      </x:c>
      <x:c r="W20" s="51" t="str">
        <x:v>benchmarks_tests/FINAL_Benchmarks_for_paper/Dynamic_Precision/P100/run_2_pyfock-gpu-dynamic-precision-p100.ipynb</x:v>
      </x:c>
      <x:c r="X20" s="26" t="n">
        <x:v>32</x:v>
      </x:c>
      <x:c r="Y20" s="26" t="n">
        <x:v>15</x:v>
      </x:c>
      <x:c r="Z20" s="26" t="str">
        <x:v>Yes</x:v>
      </x:c>
    </x:row>
    <x:row r="21" ht="28" customHeight="1">
      <x:c r="A21" s="26" t="n">
        <x:v>3</x:v>
      </x:c>
      <x:c r="B21" s="26" t="str">
        <x:v>water_10</x:v>
      </x:c>
      <x:c r="C21" s="26" t="n">
        <x:v>10</x:v>
      </x:c>
      <x:c r="D21" s="30" t="str">
        <x:v>Off</x:v>
      </x:c>
      <x:c r="E21" s="38"/>
      <x:c r="F21" s="34" t="n">
        <x:v>-762.8609888846474</x:v>
      </x:c>
      <x:c r="G21" s="38" t="n">
        <x:v>22</x:v>
      </x:c>
      <x:c r="H21" s="44" t="n">
        <x:v>10.39</x:v>
      </x:c>
      <x:c r="I21" s="44" t="n">
        <x:v>3.41</x:v>
      </x:c>
      <x:c r="J21" s="48" t="n">
        <x:v>290210</x:v>
      </x:c>
      <x:c r="K21" s="48" t="n">
        <x:v>3</x:v>
      </x:c>
      <x:c r="L21" s="48" t="n">
        <x:v>30</x:v>
      </x:c>
      <x:c r="M21" s="48" t="n">
        <x:v>250</x:v>
      </x:c>
      <x:c r="N21" s="48" t="n">
        <x:v>850</x:v>
      </x:c>
      <x:c r="O21" s="43" t="n">
        <x:v>1.9</x:v>
      </x:c>
      <x:c r="P21" s="43" t="n">
        <x:v>0.39</x:v>
      </x:c>
      <x:c r="Q21" s="43" t="n">
        <x:v>0.08</x:v>
      </x:c>
      <x:c r="R21" s="43" t="n">
        <x:v>0.23</x:v>
      </x:c>
      <x:c r="S21" s="43" t="n">
        <x:v>0.04</x:v>
      </x:c>
      <x:c r="T21" s="43" t="n">
        <x:v>2</x:v>
      </x:c>
      <x:c r="U21" s="43" t="n">
        <x:v>0.94</x:v>
      </x:c>
      <x:c r="V21" s="43" t="n">
        <x:v>1.8</x:v>
      </x:c>
      <x:c r="W21" s="51" t="str">
        <x:v>benchmarks_tests/FINAL_Benchmarks_for_paper/Dynamic_Precision/P100/run_3_pyfock-gpu-dynamic-precision-p100.ipynb</x:v>
      </x:c>
      <x:c r="X21" s="26" t="n">
        <x:v>15</x:v>
      </x:c>
      <x:c r="Y21" s="26" t="n">
        <x:v>7</x:v>
      </x:c>
      <x:c r="Z21" s="26" t="str">
        <x:v>Yes</x:v>
      </x:c>
    </x:row>
    <x:row r="22" ht="28" customHeight="1">
      <x:c r="A22" s="26" t="n">
        <x:v>3</x:v>
      </x:c>
      <x:c r="B22" s="26" t="str">
        <x:v>water_10</x:v>
      </x:c>
      <x:c r="C22" s="26" t="n">
        <x:v>10</x:v>
      </x:c>
      <x:c r="D22" s="29" t="str">
        <x:v>On</x:v>
      </x:c>
      <x:c r="E22" s="37" t="n">
        <x:v>17</x:v>
      </x:c>
      <x:c r="F22" s="33" t="n">
        <x:v>-762.8609888904859</x:v>
      </x:c>
      <x:c r="G22" s="37" t="n">
        <x:v>24</x:v>
      </x:c>
      <x:c r="H22" s="42" t="n">
        <x:v>10.17</x:v>
      </x:c>
      <x:c r="I22" s="42" t="n">
        <x:v>3.26</x:v>
      </x:c>
      <x:c r="J22" s="48" t="n">
        <x:v>290210</x:v>
      </x:c>
      <x:c r="K22" s="48" t="n">
        <x:v>3</x:v>
      </x:c>
      <x:c r="L22" s="48" t="n">
        <x:v>30</x:v>
      </x:c>
      <x:c r="M22" s="48" t="n">
        <x:v>250</x:v>
      </x:c>
      <x:c r="N22" s="48" t="n">
        <x:v>850</x:v>
      </x:c>
      <x:c r="O22" s="43" t="n">
        <x:v>1.88</x:v>
      </x:c>
      <x:c r="P22" s="43" t="n">
        <x:v>0.43</x:v>
      </x:c>
      <x:c r="Q22" s="43" t="n">
        <x:v>0.09</x:v>
      </x:c>
      <x:c r="R22" s="43" t="n">
        <x:v>0.25</x:v>
      </x:c>
      <x:c r="S22" s="43" t="n">
        <x:v>0.04</x:v>
      </x:c>
      <x:c r="T22" s="43" t="n">
        <x:v>2</x:v>
      </x:c>
      <x:c r="U22" s="43" t="n">
        <x:v>0.97</x:v>
      </x:c>
      <x:c r="V22" s="43" t="n">
        <x:v>1.7</x:v>
      </x:c>
      <x:c r="W22" s="51" t="str">
        <x:v>benchmarks_tests/FINAL_Benchmarks_for_paper/Dynamic_Precision/P100/run_3_pyfock-gpu-dynamic-precision-p100.ipynb</x:v>
      </x:c>
      <x:c r="X22" s="26" t="n">
        <x:v>26</x:v>
      </x:c>
      <x:c r="Y22" s="26" t="n">
        <x:v>12</x:v>
      </x:c>
      <x:c r="Z22" s="26" t="str">
        <x:v>Yes</x:v>
      </x:c>
    </x:row>
    <x:row r="23" ht="28" customHeight="1">
      <x:c r="A23" s="26" t="n">
        <x:v>3</x:v>
      </x:c>
      <x:c r="B23" s="26" t="str">
        <x:v>water_20</x:v>
      </x:c>
      <x:c r="C23" s="26" t="n">
        <x:v>20</x:v>
      </x:c>
      <x:c r="D23" s="30" t="str">
        <x:v>Off</x:v>
      </x:c>
      <x:c r="E23" s="38"/>
      <x:c r="F23" s="34" t="n">
        <x:v>-1525.7903988090343</x:v>
      </x:c>
      <x:c r="G23" s="38" t="n">
        <x:v>21</x:v>
      </x:c>
      <x:c r="H23" s="44" t="n">
        <x:v>32.35</x:v>
      </x:c>
      <x:c r="I23" s="44" t="n">
        <x:v>9.33</x:v>
      </x:c>
      <x:c r="J23" s="48" t="n">
        <x:v>560702</x:v>
      </x:c>
      <x:c r="K23" s="48" t="n">
        <x:v>3</x:v>
      </x:c>
      <x:c r="L23" s="48" t="n">
        <x:v>60</x:v>
      </x:c>
      <x:c r="M23" s="48" t="n">
        <x:v>500</x:v>
      </x:c>
      <x:c r="N23" s="48" t="n">
        <x:v>1700</x:v>
      </x:c>
      <x:c r="O23" s="43" t="n">
        <x:v>7.42</x:v>
      </x:c>
      <x:c r="P23" s="43" t="n">
        <x:v>0.99</x:v>
      </x:c>
      <x:c r="Q23" s="43" t="n">
        <x:v>0.11</x:v>
      </x:c>
      <x:c r="R23" s="43" t="n">
        <x:v>0.41</x:v>
      </x:c>
      <x:c r="S23" s="43" t="n">
        <x:v>0.07</x:v>
      </x:c>
      <x:c r="T23" s="43" t="n">
        <x:v>2</x:v>
      </x:c>
      <x:c r="U23" s="43" t="n">
        <x:v>4.58</x:v>
      </x:c>
      <x:c r="V23" s="43" t="n">
        <x:v>3.74</x:v>
      </x:c>
      <x:c r="W23" s="51" t="str">
        <x:v>benchmarks_tests/FINAL_Benchmarks_for_paper/Dynamic_Precision/P100/run_3_pyfock-gpu-dynamic-precision-p100.ipynb</x:v>
      </x:c>
      <x:c r="X23" s="26" t="n">
        <x:v>17</x:v>
      </x:c>
      <x:c r="Y23" s="26" t="n">
        <x:v>8</x:v>
      </x:c>
      <x:c r="Z23" s="26" t="str">
        <x:v>Yes</x:v>
      </x:c>
    </x:row>
    <x:row r="24" ht="28" customHeight="1">
      <x:c r="A24" s="26" t="n">
        <x:v>3</x:v>
      </x:c>
      <x:c r="B24" s="26" t="str">
        <x:v>water_20</x:v>
      </x:c>
      <x:c r="C24" s="26" t="n">
        <x:v>20</x:v>
      </x:c>
      <x:c r="D24" s="29" t="str">
        <x:v>On</x:v>
      </x:c>
      <x:c r="E24" s="37" t="n">
        <x:v>17</x:v>
      </x:c>
      <x:c r="F24" s="33" t="n">
        <x:v>-1525.7903989376973</x:v>
      </x:c>
      <x:c r="G24" s="37" t="n">
        <x:v>24</x:v>
      </x:c>
      <x:c r="H24" s="42" t="n">
        <x:v>31.09</x:v>
      </x:c>
      <x:c r="I24" s="42" t="n">
        <x:v>8.37</x:v>
      </x:c>
      <x:c r="J24" s="48" t="n">
        <x:v>560702</x:v>
      </x:c>
      <x:c r="K24" s="48" t="n">
        <x:v>3</x:v>
      </x:c>
      <x:c r="L24" s="48" t="n">
        <x:v>60</x:v>
      </x:c>
      <x:c r="M24" s="48" t="n">
        <x:v>500</x:v>
      </x:c>
      <x:c r="N24" s="48" t="n">
        <x:v>1700</x:v>
      </x:c>
      <x:c r="O24" s="43" t="n">
        <x:v>7.43</x:v>
      </x:c>
      <x:c r="P24" s="43" t="n">
        <x:v>1.08</x:v>
      </x:c>
      <x:c r="Q24" s="43" t="n">
        <x:v>0.13</x:v>
      </x:c>
      <x:c r="R24" s="43" t="n">
        <x:v>0.47</x:v>
      </x:c>
      <x:c r="S24" s="43" t="n">
        <x:v>0.07</x:v>
      </x:c>
      <x:c r="T24" s="43" t="n">
        <x:v>2</x:v>
      </x:c>
      <x:c r="U24" s="43" t="n">
        <x:v>4.53</x:v>
      </x:c>
      <x:c r="V24" s="43" t="n">
        <x:v>3.5</x:v>
      </x:c>
      <x:c r="W24" s="51" t="str">
        <x:v>benchmarks_tests/FINAL_Benchmarks_for_paper/Dynamic_Precision/P100/run_3_pyfock-gpu-dynamic-precision-p100.ipynb</x:v>
      </x:c>
      <x:c r="X24" s="26" t="n">
        <x:v>28</x:v>
      </x:c>
      <x:c r="Y24" s="26" t="n">
        <x:v>13</x:v>
      </x:c>
      <x:c r="Z24" s="26" t="str">
        <x:v>Yes</x:v>
      </x:c>
    </x:row>
    <x:row r="25" ht="28" customHeight="1">
      <x:c r="A25" s="26" t="n">
        <x:v>3</x:v>
      </x:c>
      <x:c r="B25" s="26" t="str">
        <x:v>water_32</x:v>
      </x:c>
      <x:c r="C25" s="26" t="n">
        <x:v>32</x:v>
      </x:c>
      <x:c r="D25" s="30" t="str">
        <x:v>Off</x:v>
      </x:c>
      <x:c r="E25" s="38"/>
      <x:c r="F25" s="34" t="n">
        <x:v>-2441.3502206202047</x:v>
      </x:c>
      <x:c r="G25" s="38" t="n">
        <x:v>34</x:v>
      </x:c>
      <x:c r="H25" s="44" t="n">
        <x:v>93.55</x:v>
      </x:c>
      <x:c r="I25" s="44" t="n">
        <x:v>30.12</x:v>
      </x:c>
      <x:c r="J25" s="48" t="n">
        <x:v>884616</x:v>
      </x:c>
      <x:c r="K25" s="48" t="n">
        <x:v>3</x:v>
      </x:c>
      <x:c r="L25" s="48" t="n">
        <x:v>96</x:v>
      </x:c>
      <x:c r="M25" s="48" t="n">
        <x:v>800</x:v>
      </x:c>
      <x:c r="N25" s="48" t="n">
        <x:v>2720</x:v>
      </x:c>
      <x:c r="O25" s="43" t="n">
        <x:v>20.99</x:v>
      </x:c>
      <x:c r="P25" s="43" t="n">
        <x:v>3.48</x:v>
      </x:c>
      <x:c r="Q25" s="43" t="n">
        <x:v>0.25</x:v>
      </x:c>
      <x:c r="R25" s="43" t="n">
        <x:v>1.24</x:v>
      </x:c>
      <x:c r="S25" s="43" t="n">
        <x:v>0.11</x:v>
      </x:c>
      <x:c r="T25" s="43" t="n">
        <x:v>2</x:v>
      </x:c>
      <x:c r="U25" s="43" t="n">
        <x:v>15.97</x:v>
      </x:c>
      <x:c r="V25" s="43" t="n">
        <x:v>7.38</x:v>
      </x:c>
      <x:c r="W25" s="51" t="str">
        <x:v>benchmarks_tests/FINAL_Benchmarks_for_paper/Dynamic_Precision/P100/run_3_pyfock-gpu-dynamic-precision-p100.ipynb</x:v>
      </x:c>
      <x:c r="X25" s="26" t="n">
        <x:v>19</x:v>
      </x:c>
      <x:c r="Y25" s="26" t="n">
        <x:v>9</x:v>
      </x:c>
      <x:c r="Z25" s="26" t="str">
        <x:v>Yes</x:v>
      </x:c>
    </x:row>
    <x:row r="26" ht="28" customHeight="1">
      <x:c r="A26" s="26" t="n">
        <x:v>3</x:v>
      </x:c>
      <x:c r="B26" s="26" t="str">
        <x:v>water_32</x:v>
      </x:c>
      <x:c r="C26" s="26" t="n">
        <x:v>32</x:v>
      </x:c>
      <x:c r="D26" s="29" t="str">
        <x:v>On</x:v>
      </x:c>
      <x:c r="E26" s="37" t="n">
        <x:v>22</x:v>
      </x:c>
      <x:c r="F26" s="33" t="n">
        <x:v>-2441.350220605442</x:v>
      </x:c>
      <x:c r="G26" s="37" t="n">
        <x:v>32</x:v>
      </x:c>
      <x:c r="H26" s="42" t="n">
        <x:v>83.41</x:v>
      </x:c>
      <x:c r="I26" s="42" t="n">
        <x:v>21.84</x:v>
      </x:c>
      <x:c r="J26" s="48" t="n">
        <x:v>884616</x:v>
      </x:c>
      <x:c r="K26" s="48" t="n">
        <x:v>3</x:v>
      </x:c>
      <x:c r="L26" s="48" t="n">
        <x:v>96</x:v>
      </x:c>
      <x:c r="M26" s="48" t="n">
        <x:v>800</x:v>
      </x:c>
      <x:c r="N26" s="48" t="n">
        <x:v>2720</x:v>
      </x:c>
      <x:c r="O26" s="43" t="n">
        <x:v>21.07</x:v>
      </x:c>
      <x:c r="P26" s="43" t="n">
        <x:v>3.04</x:v>
      </x:c>
      <x:c r="Q26" s="43" t="n">
        <x:v>0.23</x:v>
      </x:c>
      <x:c r="R26" s="43" t="n">
        <x:v>1.16</x:v>
      </x:c>
      <x:c r="S26" s="43" t="n">
        <x:v>0.11</x:v>
      </x:c>
      <x:c r="T26" s="43" t="n">
        <x:v>2</x:v>
      </x:c>
      <x:c r="U26" s="43" t="n">
        <x:v>16.02</x:v>
      </x:c>
      <x:c r="V26" s="43" t="n">
        <x:v>5.75</x:v>
      </x:c>
      <x:c r="W26" s="51" t="str">
        <x:v>benchmarks_tests/FINAL_Benchmarks_for_paper/Dynamic_Precision/P100/run_3_pyfock-gpu-dynamic-precision-p100.ipynb</x:v>
      </x:c>
      <x:c r="X26" s="26" t="n">
        <x:v>30</x:v>
      </x:c>
      <x:c r="Y26" s="26" t="n">
        <x:v>14</x:v>
      </x:c>
      <x:c r="Z26" s="26" t="str">
        <x:v>Yes</x:v>
      </x:c>
    </x:row>
    <x:row r="27" ht="28" customHeight="1">
      <x:c r="A27" s="26" t="n">
        <x:v>3</x:v>
      </x:c>
      <x:c r="B27" s="26" t="str">
        <x:v>water_47</x:v>
      </x:c>
      <x:c r="C27" s="26" t="n">
        <x:v>47</x:v>
      </x:c>
      <x:c r="D27" s="30" t="str">
        <x:v>Off</x:v>
      </x:c>
      <x:c r="E27" s="38"/>
      <x:c r="F27" s="34" t="n">
        <x:v>-3585.736596697372</x:v>
      </x:c>
      <x:c r="G27" s="38" t="n">
        <x:v>27</x:v>
      </x:c>
      <x:c r="H27" s="44" t="n">
        <x:v>203.03</x:v>
      </x:c>
      <x:c r="I27" s="44" t="n">
        <x:v>54.98</x:v>
      </x:c>
      <x:c r="J27" s="48" t="n">
        <x:v>1287189</x:v>
      </x:c>
      <x:c r="K27" s="48" t="n">
        <x:v>3</x:v>
      </x:c>
      <x:c r="L27" s="48" t="n">
        <x:v>141</x:v>
      </x:c>
      <x:c r="M27" s="48" t="n">
        <x:v>1175</x:v>
      </x:c>
      <x:c r="N27" s="48" t="n">
        <x:v>3995</x:v>
      </x:c>
      <x:c r="O27" s="43" t="n">
        <x:v>53.94</x:v>
      </x:c>
      <x:c r="P27" s="43" t="n">
        <x:v>4.9</x:v>
      </x:c>
      <x:c r="Q27" s="43" t="n">
        <x:v>0.5</x:v>
      </x:c>
      <x:c r="R27" s="43" t="n">
        <x:v>1.99</x:v>
      </x:c>
      <x:c r="S27" s="43" t="n">
        <x:v>0.16</x:v>
      </x:c>
      <x:c r="T27" s="43" t="n">
        <x:v>2</x:v>
      </x:c>
      <x:c r="U27" s="43" t="n">
        <x:v>48.99</x:v>
      </x:c>
      <x:c r="V27" s="43" t="n">
        <x:v>5.93</x:v>
      </x:c>
      <x:c r="W27" s="51" t="str">
        <x:v>benchmarks_tests/FINAL_Benchmarks_for_paper/Dynamic_Precision/P100/run_3_pyfock-gpu-dynamic-precision-p100.ipynb</x:v>
      </x:c>
      <x:c r="X27" s="26" t="n">
        <x:v>21</x:v>
      </x:c>
      <x:c r="Y27" s="26" t="n">
        <x:v>10</x:v>
      </x:c>
      <x:c r="Z27" s="26" t="str">
        <x:v>Yes</x:v>
      </x:c>
    </x:row>
    <x:row r="28" ht="28" customHeight="1">
      <x:c r="A28" s="27" t="n">
        <x:v>3</x:v>
      </x:c>
      <x:c r="B28" s="27" t="str">
        <x:v>water_47</x:v>
      </x:c>
      <x:c r="C28" s="27" t="n">
        <x:v>47</x:v>
      </x:c>
      <x:c r="D28" s="31" t="str">
        <x:v>On</x:v>
      </x:c>
      <x:c r="E28" s="39" t="n">
        <x:v>19</x:v>
      </x:c>
      <x:c r="F28" s="35" t="n">
        <x:v>-3585.736596707191</x:v>
      </x:c>
      <x:c r="G28" s="39" t="n">
        <x:v>26</x:v>
      </x:c>
      <x:c r="H28" s="45" t="n">
        <x:v>186.11</x:v>
      </x:c>
      <x:c r="I28" s="45" t="n">
        <x:v>35.83</x:v>
      </x:c>
      <x:c r="J28" s="49" t="n">
        <x:v>1287189</x:v>
      </x:c>
      <x:c r="K28" s="49" t="n">
        <x:v>3</x:v>
      </x:c>
      <x:c r="L28" s="49" t="n">
        <x:v>141</x:v>
      </x:c>
      <x:c r="M28" s="49" t="n">
        <x:v>1175</x:v>
      </x:c>
      <x:c r="N28" s="49" t="n">
        <x:v>3995</x:v>
      </x:c>
      <x:c r="O28" s="46" t="n">
        <x:v>54.64</x:v>
      </x:c>
      <x:c r="P28" s="46" t="n">
        <x:v>4.69</x:v>
      </x:c>
      <x:c r="Q28" s="46" t="n">
        <x:v>0.47</x:v>
      </x:c>
      <x:c r="R28" s="46" t="n">
        <x:v>1.89</x:v>
      </x:c>
      <x:c r="S28" s="46" t="n">
        <x:v>0.16</x:v>
      </x:c>
      <x:c r="T28" s="46" t="n">
        <x:v>2</x:v>
      </x:c>
      <x:c r="U28" s="46" t="n">
        <x:v>49.18</x:v>
      </x:c>
      <x:c r="V28" s="46" t="n">
        <x:v>7.26</x:v>
      </x:c>
      <x:c r="W28" s="52" t="str">
        <x:v>benchmarks_tests/FINAL_Benchmarks_for_paper/Dynamic_Precision/P100/run_3_pyfock-gpu-dynamic-precision-p100.ipynb</x:v>
      </x:c>
      <x:c r="X28" s="27" t="n">
        <x:v>32</x:v>
      </x:c>
      <x:c r="Y28" s="27" t="n">
        <x:v>15</x:v>
      </x:c>
      <x:c r="Z28" s="27" t="str">
        <x:v>Yes</x:v>
      </x:c>
    </x:row>
  </x:sheetData>
  <x:mergeCells>
    <x:mergeCell ref="A1:Z1"/>
    <x:mergeCell ref="A2:Z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4" hidden="0" customWidth="1"/>
    <x:col min="3" max="3" width="24" hidden="0" customWidth="1"/>
    <x:col min="4" max="4" width="34" hidden="0" customWidth="1"/>
    <x:col min="5" max="5" width="25" hidden="0" customWidth="1"/>
    <x:col min="6" max="6" width="3" hidden="0" customWidth="1"/>
    <x:col min="7" max="7" width="24" hidden="0" customWidth="1"/>
    <x:col min="8" max="8" width="58" hidden="0" customWidth="1"/>
    <x:col min="9" max="9" width="22" hidden="0" customWidth="1"/>
    <x:col min="10" max="10" width="22" hidden="0" customWidth="1"/>
    <x:col min="11" max="11" width="20" hidden="0" customWidth="1"/>
    <x:col min="12" max="12" width="23" hidden="0" customWidth="1"/>
    <x:col min="13" max="13" width="25" hidden="0" customWidth="1"/>
  </x:cols>
  <x:sheetData>
    <x:row r="1" ht="34" customHeight="1">
      <x:c r="A1" s="3" t="str">
        <x:v>Simulation setup and software versions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Settings reflect executed code and captured output. The P100 model is identified by the benchmark directory and task; notebook output confirms GPU execution but does not print the device model.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2" customHeight="1">
      <x:c r="A4" s="18" t="str">
        <x:v>Setting</x:v>
      </x:c>
      <x:c r="B4" s="19" t="str">
        <x:v>Value</x:v>
      </x:c>
      <x:c r="C4" s="19" t="str">
        <x:v>Units / detail</x:v>
      </x:c>
      <x:c r="D4" s="20" t="str">
        <x:v>Evidence</x:v>
      </x:c>
      <x:c r="G4" s="18" t="str">
        <x:v>System</x:v>
      </x:c>
      <x:c r="H4" s="19" t="str">
        <x:v>H₂O molecules</x:v>
      </x:c>
      <x:c r="I4" s="19" t="str">
        <x:v>Atoms</x:v>
      </x:c>
      <x:c r="J4" s="19" t="str">
        <x:v>Basis functions</x:v>
      </x:c>
      <x:c r="K4" s="19" t="str">
        <x:v>Aux basis functions</x:v>
      </x:c>
      <x:c r="L4" s="19" t="str">
        <x:v>Grid level</x:v>
      </x:c>
      <x:c r="M4" s="20" t="str">
        <x:v>Grid points after pruning</x:v>
      </x:c>
    </x:row>
    <x:row r="5">
      <x:c r="A5" s="25" t="str">
        <x:v>Execution platform</x:v>
      </x:c>
      <x:c r="B5" s="197" t="str">
        <x:v>Kaggle notebook</x:v>
      </x:c>
      <x:c r="C5" s="50" t="str"/>
      <x:c r="D5" s="50" t="str">
        <x:v>User task and notebook location</x:v>
      </x:c>
      <x:c r="G5" s="25" t="str">
        <x:v>water_10</x:v>
      </x:c>
      <x:c r="H5" s="47" t="n">
        <x:v>10</x:v>
      </x:c>
      <x:c r="I5" s="47" t="n">
        <x:v>30</x:v>
      </x:c>
      <x:c r="J5" s="47" t="n">
        <x:v>250</x:v>
      </x:c>
      <x:c r="K5" s="47" t="n">
        <x:v>850</x:v>
      </x:c>
      <x:c r="L5" s="47" t="n">
        <x:v>3</x:v>
      </x:c>
      <x:c r="M5" s="47" t="n">
        <x:v>290210</x:v>
      </x:c>
    </x:row>
    <x:row r="6">
      <x:c r="A6" s="26" t="str">
        <x:v>Accelerator</x:v>
      </x:c>
      <x:c r="B6" s="198" t="str">
        <x:v>NVIDIA Tesla P100</x:v>
      </x:c>
      <x:c r="C6" s="51" t="str">
        <x:v>1 GPU</x:v>
      </x:c>
      <x:c r="D6" s="51" t="str">
        <x:v>Benchmark directory/user task; notebook output confirms GPU enabled</x:v>
      </x:c>
      <x:c r="G6" s="26" t="str">
        <x:v>water_20</x:v>
      </x:c>
      <x:c r="H6" s="48" t="n">
        <x:v>20</x:v>
      </x:c>
      <x:c r="I6" s="48" t="n">
        <x:v>60</x:v>
      </x:c>
      <x:c r="J6" s="48" t="n">
        <x:v>500</x:v>
      </x:c>
      <x:c r="K6" s="48" t="n">
        <x:v>1700</x:v>
      </x:c>
      <x:c r="L6" s="48" t="n">
        <x:v>3</x:v>
      </x:c>
      <x:c r="M6" s="48" t="n">
        <x:v>560702</x:v>
      </x:c>
    </x:row>
    <x:row r="7">
      <x:c r="A7" s="26" t="str">
        <x:v>Operating system</x:v>
      </x:c>
      <x:c r="B7" s="198" t="str">
        <x:v>Linux 6.12.90+</x:v>
      </x:c>
      <x:c r="C7" s="51" t="str"/>
      <x:c r="D7" s="51" t="str">
        <x:v>PyFock runtime banner</x:v>
      </x:c>
      <x:c r="G7" s="26" t="str">
        <x:v>water_32</x:v>
      </x:c>
      <x:c r="H7" s="48" t="n">
        <x:v>32</x:v>
      </x:c>
      <x:c r="I7" s="48" t="n">
        <x:v>96</x:v>
      </x:c>
      <x:c r="J7" s="48" t="n">
        <x:v>800</x:v>
      </x:c>
      <x:c r="K7" s="48" t="n">
        <x:v>2720</x:v>
      </x:c>
      <x:c r="L7" s="48" t="n">
        <x:v>3</x:v>
      </x:c>
      <x:c r="M7" s="48" t="n">
        <x:v>884616</x:v>
      </x:c>
    </x:row>
    <x:row r="8">
      <x:c r="A8" s="26" t="str">
        <x:v>CPU</x:v>
      </x:c>
      <x:c r="B8" s="198" t="str">
        <x:v>Intel(R) Xeon(R) CPU @ 2.00GHz</x:v>
      </x:c>
      <x:c r="C8" s="51" t="str">
        <x:v>2 cores / 4 threads</x:v>
      </x:c>
      <x:c r="D8" s="51" t="str">
        <x:v>PyFock runtime banner</x:v>
      </x:c>
      <x:c r="G8" s="27" t="str">
        <x:v>water_47</x:v>
      </x:c>
      <x:c r="H8" s="49" t="n">
        <x:v>47</x:v>
      </x:c>
      <x:c r="I8" s="49" t="n">
        <x:v>141</x:v>
      </x:c>
      <x:c r="J8" s="49" t="n">
        <x:v>1175</x:v>
      </x:c>
      <x:c r="K8" s="49" t="n">
        <x:v>3995</x:v>
      </x:c>
      <x:c r="L8" s="49" t="n">
        <x:v>3</x:v>
      </x:c>
      <x:c r="M8" s="49" t="n">
        <x:v>1287189</x:v>
      </x:c>
    </x:row>
    <x:row r="9">
      <x:c r="A9" s="26" t="str">
        <x:v>Memory</x:v>
      </x:c>
      <x:c r="B9" s="198" t="n">
        <x:v>31.35</x:v>
      </x:c>
      <x:c r="C9" s="51" t="str">
        <x:v>GB</x:v>
      </x:c>
      <x:c r="D9" s="51" t="str">
        <x:v>PyFock runtime banner</x:v>
      </x:c>
    </x:row>
    <x:row r="10">
      <x:c r="A10" s="26" t="str">
        <x:v>Kaggle Docker image</x:v>
      </x:c>
      <x:c r="B10" s="198" t="n">
        <x:v>28755</x:v>
      </x:c>
      <x:c r="C10" s="51" t="str">
        <x:v>image version ID</x:v>
      </x:c>
      <x:c r="D10" s="51" t="str">
        <x:v>Notebook metadata</x:v>
      </x:c>
      <x:c r="G10" s="191" t="str">
        <x:v>Notebook provenance</x:v>
      </x:c>
      <x:c r="H10" s="191"/>
      <x:c r="I10" s="191"/>
      <x:c r="J10" s="191"/>
      <x:c r="K10" s="191"/>
      <x:c r="L10" s="191"/>
      <x:c r="M10" s="191"/>
    </x:row>
    <x:row r="11">
      <x:c r="A11" s="26" t="str">
        <x:v>Python</x:v>
      </x:c>
      <x:c r="B11" s="198" t="str">
        <x:v>3.12.13</x:v>
      </x:c>
      <x:c r="C11" s="51" t="str"/>
      <x:c r="D11" s="51" t="str">
        <x:v>Notebook metadata</x:v>
      </x:c>
    </x:row>
    <x:row r="12" ht="32" customHeight="1">
      <x:c r="A12" s="26" t="str">
        <x:v>PyFock</x:v>
      </x:c>
      <x:c r="B12" s="198" t="str">
        <x:v>0.1.4</x:v>
      </x:c>
      <x:c r="C12" s="51" t="str"/>
      <x:c r="D12" s="51" t="str">
        <x:v>Install output and runtime banner</x:v>
      </x:c>
      <x:c r="G12" s="18" t="str">
        <x:v>Run</x:v>
      </x:c>
      <x:c r="H12" s="19" t="str">
        <x:v>Notebook</x:v>
      </x:c>
      <x:c r="I12" s="19" t="str">
        <x:v>Run start (UTC)</x:v>
      </x:c>
      <x:c r="J12" s="19" t="str">
        <x:v>Run end (UTC)</x:v>
      </x:c>
      <x:c r="K12" s="19" t="str">
        <x:v>Notebook duration (s)</x:v>
      </x:c>
      <x:c r="L12" s="19" t="str">
        <x:v>Metadata GPU flag</x:v>
      </x:c>
      <x:c r="M12" s="20" t="str">
        <x:v>Executed output</x:v>
      </x:c>
    </x:row>
    <x:row r="13" ht="34" customHeight="1">
      <x:c r="A13" s="26" t="str">
        <x:v>DFT functional</x:v>
      </x:c>
      <x:c r="B13" s="198" t="str">
        <x:v>PBE</x:v>
      </x:c>
      <x:c r="C13" s="51" t="str"/>
      <x:c r="D13" s="51" t="str">
        <x:v>Executed benchmark code</x:v>
      </x:c>
      <x:c r="G13" s="25" t="n">
        <x:v>1</x:v>
      </x:c>
      <x:c r="H13" s="50" t="str">
        <x:v>benchmarks_tests/FINAL_Benchmarks_for_paper/Dynamic_Precision/P100/run_1_pyfock-gpu-dynamic-precision-p100.ipynb</x:v>
      </x:c>
      <x:c r="I13" s="201" t="n">
        <x:v>46227.632836875</x:v>
      </x:c>
      <x:c r="J13" s="201" t="n">
        <x:v>46227.65239427083</x:v>
      </x:c>
      <x:c r="K13" s="204" t="n">
        <x:v>1689.758351</x:v>
      </x:c>
      <x:c r="L13" s="50" t="str">
        <x:v>none / isGpuEnabled=false</x:v>
      </x:c>
      <x:c r="M13" s="50" t="str">
        <x:v>GPU acceleration is enabled</x:v>
      </x:c>
    </x:row>
    <x:row r="14" ht="34" customHeight="1">
      <x:c r="A14" s="26" t="str">
        <x:v>AO basis</x:v>
      </x:c>
      <x:c r="B14" s="198" t="str">
        <x:v>def2-SVP</x:v>
      </x:c>
      <x:c r="C14" s="51" t="str"/>
      <x:c r="D14" s="51" t="str">
        <x:v>Executed benchmark code</x:v>
      </x:c>
      <x:c r="G14" s="26" t="n">
        <x:v>2</x:v>
      </x:c>
      <x:c r="H14" s="51" t="str">
        <x:v>benchmarks_tests/FINAL_Benchmarks_for_paper/Dynamic_Precision/P100/run_2_pyfock-gpu-dynamic-precision-p100.ipynb</x:v>
      </x:c>
      <x:c r="I14" s="202" t="n">
        <x:v>46227.69156381945</x:v>
      </x:c>
      <x:c r="J14" s="202" t="n">
        <x:v>46227.700758645835</x:v>
      </x:c>
      <x:c r="K14" s="205" t="n">
        <x:v>794.43347</x:v>
      </x:c>
      <x:c r="L14" s="51" t="str">
        <x:v>none / isGpuEnabled=false</x:v>
      </x:c>
      <x:c r="M14" s="51" t="str">
        <x:v>GPU acceleration is enabled</x:v>
      </x:c>
    </x:row>
    <x:row r="15" ht="34" customHeight="1">
      <x:c r="A15" s="26" t="str">
        <x:v>Auxiliary basis</x:v>
      </x:c>
      <x:c r="B15" s="198" t="str">
        <x:v>def2-universal-jfit</x:v>
      </x:c>
      <x:c r="C15" s="51" t="str"/>
      <x:c r="D15" s="51" t="str">
        <x:v>Executed benchmark code</x:v>
      </x:c>
      <x:c r="G15" s="27" t="n">
        <x:v>3</x:v>
      </x:c>
      <x:c r="H15" s="52" t="str">
        <x:v>benchmarks_tests/FINAL_Benchmarks_for_paper/Dynamic_Precision/P100/run_3_pyfock-gpu-dynamic-precision-p100.ipynb</x:v>
      </x:c>
      <x:c r="I15" s="203" t="n">
        <x:v>46227.70269605324</x:v>
      </x:c>
      <x:c r="J15" s="203" t="n">
        <x:v>46227.71186678241</x:v>
      </x:c>
      <x:c r="K15" s="206" t="n">
        <x:v>792.350925</x:v>
      </x:c>
      <x:c r="L15" s="52" t="str">
        <x:v>none / isGpuEnabled=false</x:v>
      </x:c>
      <x:c r="M15" s="52" t="str">
        <x:v>GPU acceleration is enabled</x:v>
      </x:c>
    </x:row>
    <x:row r="16">
      <x:c r="A16" s="26" t="str">
        <x:v>Grid generator</x:v>
      </x:c>
      <x:c r="B16" s="198" t="str">
        <x:v>PySCF</x:v>
      </x:c>
      <x:c r="C16" s="51" t="str">
        <x:v>use_pyscf_grids=True</x:v>
      </x:c>
      <x:c r="D16" s="51" t="str">
        <x:v>Executed benchmark code</x:v>
      </x:c>
    </x:row>
    <x:row r="17">
      <x:c r="A17" s="26" t="str">
        <x:v>Grid level</x:v>
      </x:c>
      <x:c r="B17" s="198" t="n">
        <x:v>3</x:v>
      </x:c>
      <x:c r="C17" s="51" t="str"/>
      <x:c r="D17" s="51" t="str">
        <x:v>Executed benchmark code and output</x:v>
      </x:c>
    </x:row>
    <x:row r="18">
      <x:c r="A18" s="26" t="str">
        <x:v>SCF convergence criterion</x:v>
      </x:c>
      <x:c r="B18" s="198" t="n">
        <x:v>1e-7</x:v>
      </x:c>
      <x:c r="C18" s="51" t="str">
        <x:v>Ha</x:v>
      </x:c>
      <x:c r="D18" s="51" t="str">
        <x:v>Executed benchmark code</x:v>
      </x:c>
      <x:c r="G18" s="191" t="str">
        <x:v>Data-quality and interpretation notes</x:v>
      </x:c>
      <x:c r="H18" s="191"/>
      <x:c r="I18" s="191"/>
      <x:c r="J18" s="191"/>
      <x:c r="K18" s="191"/>
      <x:c r="L18" s="191"/>
      <x:c r="M18" s="191"/>
    </x:row>
    <x:row r="19">
      <x:c r="A19" s="26" t="str">
        <x:v>Maximum SCF iterations</x:v>
      </x:c>
      <x:c r="B19" s="198" t="n">
        <x:v>50</x:v>
      </x:c>
      <x:c r="C19" s="51" t="str">
        <x:v>iterations</x:v>
      </x:c>
      <x:c r="D19" s="51" t="str">
        <x:v>Executed benchmark code</x:v>
      </x:c>
    </x:row>
    <x:row r="20" ht="48" customHeight="1">
      <x:c r="A20" s="26" t="str">
        <x:v>Numba / BLAS thread setting</x:v>
      </x:c>
      <x:c r="B20" s="198" t="n">
        <x:v>4</x:v>
      </x:c>
      <x:c r="C20" s="51" t="str">
        <x:v>threads</x:v>
      </x:c>
      <x:c r="D20" s="51" t="str">
        <x:v>Executed benchmark code</x:v>
      </x:c>
      <x:c r="G20" s="207" t="str">
        <x:v>Dynamic-mode identification</x:v>
      </x:c>
      <x:c r="H20" s="50" t="str">
        <x:v>Classification follows executed code: cells 26, 28, 30, and 32 set dynamic_precision=True; cells 15, 17, 19, and 21 set it to False.</x:v>
      </x:c>
    </x:row>
    <x:row r="21" ht="48" customHeight="1">
      <x:c r="A21" s="26" t="str">
        <x:v>GPU enabled</x:v>
      </x:c>
      <x:c r="B21" s="199" t="b">
        <x:v>1</x:v>
      </x:c>
      <x:c r="C21" s="51" t="str"/>
      <x:c r="D21" s="51" t="str">
        <x:v>Executed benchmark code</x:v>
      </x:c>
      <x:c r="G21" s="208" t="str">
        <x:v>GPU metadata discrepancy</x:v>
      </x:c>
      <x:c r="H21" s="51" t="str">
        <x:v>Kaggle metadata reports accelerator=none/isGpuEnabled=false, while the executed PyFock output says “GPU acceleration is enabled.” P100 is taken from the benchmark directory and the task description.</x:v>
      </x:c>
    </x:row>
    <x:row r="22" ht="48" customHeight="1">
      <x:c r="A22" s="26" t="str">
        <x:v>XC block size</x:v>
      </x:c>
      <x:c r="B22" s="198" t="n">
        <x:v>20480</x:v>
      </x:c>
      <x:c r="C22" s="51" t="str">
        <x:v>grid points</x:v>
      </x:c>
      <x:c r="D22" s="51" t="str">
        <x:v>Executed benchmark code</x:v>
      </x:c>
      <x:c r="G22" s="208" t="str">
        <x:v>Energy comparison</x:v>
      </x:c>
      <x:c r="H22" s="51" t="str">
        <x:v>Baseline and dynamic runs converge in different iteration counts. Reported Δ energies compare their final converged energies; they are not same-density precision differences.</x:v>
      </x:c>
    </x:row>
    <x:row r="23" ht="48" customHeight="1">
      <x:c r="A23" s="26" t="str">
        <x:v>Save AO values</x:v>
      </x:c>
      <x:c r="B23" s="199" t="b">
        <x:v>0</x:v>
      </x:c>
      <x:c r="C23" s="51" t="str"/>
      <x:c r="D23" s="51" t="str">
        <x:v>Executed benchmark code</x:v>
      </x:c>
      <x:c r="G23" s="208" t="str">
        <x:v>Timing comparison</x:v>
      </x:c>
      <x:c r="H23" s="51" t="str">
        <x:v>XC and total timings are wall-clock profiler values. System summaries use arithmetic means across the three paired runs.</x:v>
      </x:c>
    </x:row>
    <x:row r="24" ht="48" customHeight="1">
      <x:c r="A24" s="26" t="str">
        <x:v>Precision modes compared</x:v>
      </x:c>
      <x:c r="B24" s="198" t="str">
        <x:v>dynamic_precision=False vs True</x:v>
      </x:c>
      <x:c r="C24" s="51" t="str"/>
      <x:c r="D24" s="51" t="str">
        <x:v>Executed benchmark code</x:v>
      </x:c>
      <x:c r="G24" s="208" t="str">
        <x:v>Warm-up runs</x:v>
      </x:c>
      <x:c r="H24" s="51" t="str">
        <x:v>water_5 is executed before each precision mode in every notebook but is excluded because the requested measured systems are water_10, water_20, water_32, and water_47.</x:v>
      </x:c>
    </x:row>
    <x:row r="25" ht="48" customHeight="1">
      <x:c r="A25" s="26" t="str">
        <x:v>Dynamic → double switch</x:v>
      </x:c>
      <x:c r="B25" s="198" t="str">
        <x:v>water_10: 17; water_20: 17; water_32: 22; water_47: 19</x:v>
      </x:c>
      <x:c r="C25" s="51" t="str">
        <x:v>SCF iteration</x:v>
      </x:c>
      <x:c r="D25" s="51" t="str">
        <x:v>Identical in all 3 dynamic-precision runs</x:v>
      </x:c>
      <x:c r="G25" s="208" t="str">
        <x:v>Per-iteration metrics</x:v>
      </x:c>
      <x:c r="H25" s="51" t="str">
        <x:v>Total / iteration is Complete SCF wall time divided by converged SCF iterations and therefore includes amortized setup work. XC / iteration is profiled XC wall time divided by converged SCF iterations.</x:v>
      </x:c>
    </x:row>
    <x:row r="26" ht="48" customHeight="1">
      <x:c r="A26" s="27" t="str">
        <x:v>Warm-up policy</x:v>
      </x:c>
      <x:c r="B26" s="200" t="str">
        <x:v>water_5 before each precision mode</x:v>
      </x:c>
      <x:c r="C26" s="52" t="str">
        <x:v>excluded from measured tables</x:v>
      </x:c>
      <x:c r="D26" s="52" t="str">
        <x:v>Notebook sequence</x:v>
      </x:c>
      <x:c r="G26" s="209" t="str">
        <x:v>Effective XC speedup</x:v>
      </x:c>
      <x:c r="H26" s="52" t="str">
        <x:v>Effective XC speedup = XC kernel speedup per iteration ÷ iteration-count factor, where iteration-count factor = Dynamic SCF iterations ÷ Off SCF iterations. Algebraically this equals total XC time Off ÷ total XC time Dynamic.</x:v>
      </x:c>
    </x:row>
    <x:row r="30">
      <x:c r="A30" s="191" t="str">
        <x:v>Python runtime and package versions observed in setup output</x:v>
      </x:c>
      <x:c r="B30" s="191"/>
      <x:c r="C30" s="191"/>
      <x:c r="D30" s="191"/>
      <x:c r="E30" s="191"/>
    </x:row>
    <x:row r="32" ht="32" customHeight="1">
      <x:c r="A32" s="18" t="str">
        <x:v>Component</x:v>
      </x:c>
      <x:c r="B32" s="19" t="str">
        <x:v>Version</x:v>
      </x:c>
      <x:c r="C32" s="19" t="str">
        <x:v>Role</x:v>
      </x:c>
      <x:c r="D32" s="19" t="str">
        <x:v>Setup status</x:v>
      </x:c>
      <x:c r="E32" s="20" t="str">
        <x:v>Evidence</x:v>
      </x:c>
    </x:row>
    <x:row r="33">
      <x:c r="A33" s="25" t="str">
        <x:v>Python</x:v>
      </x:c>
      <x:c r="B33" s="28" t="str">
        <x:v>3.12.13</x:v>
      </x:c>
      <x:c r="C33" s="50" t="str">
        <x:v>Notebook runtime</x:v>
      </x:c>
      <x:c r="D33" s="50" t="str">
        <x:v>Runtime metadata</x:v>
      </x:c>
      <x:c r="E33" s="50" t="str">
        <x:v>Notebook metadata: language_info.version</x:v>
      </x:c>
    </x:row>
    <x:row r="34">
      <x:c r="A34" s="26" t="str">
        <x:v>pyfock</x:v>
      </x:c>
      <x:c r="B34" s="30" t="str">
        <x:v>0.1.4</x:v>
      </x:c>
      <x:c r="C34" s="51" t="str">
        <x:v>Target package</x:v>
      </x:c>
      <x:c r="D34" s="51" t="str">
        <x:v>Installed during setup</x:v>
      </x:c>
      <x:c r="E34" s="51" t="str">
        <x:v>pip install . output</x:v>
      </x:c>
    </x:row>
    <x:row r="35">
      <x:c r="A35" s="26" t="str">
        <x:v>numgrid</x:v>
      </x:c>
      <x:c r="B35" s="30" t="str">
        <x:v>2.1.2</x:v>
      </x:c>
      <x:c r="C35" s="51" t="str">
        <x:v>PyFock dependency</x:v>
      </x:c>
      <x:c r="D35" s="51" t="str">
        <x:v>Installed during setup</x:v>
      </x:c>
      <x:c r="E35" s="51" t="str">
        <x:v>pip install . output</x:v>
      </x:c>
    </x:row>
    <x:row r="36">
      <x:c r="A36" s="26" t="str">
        <x:v>numba</x:v>
      </x:c>
      <x:c r="B36" s="30" t="str">
        <x:v>0.60.0</x:v>
      </x:c>
      <x:c r="C36" s="51" t="str">
        <x:v>PyFock dependency</x:v>
      </x:c>
      <x:c r="D36" s="51" t="str">
        <x:v>Already present</x:v>
      </x:c>
      <x:c r="E36" s="51" t="str">
        <x:v>pip install . output</x:v>
      </x:c>
    </x:row>
    <x:row r="37">
      <x:c r="A37" s="26" t="str">
        <x:v>numexpr</x:v>
      </x:c>
      <x:c r="B37" s="30" t="str">
        <x:v>2.14.1</x:v>
      </x:c>
      <x:c r="C37" s="51" t="str">
        <x:v>PyFock dependency</x:v>
      </x:c>
      <x:c r="D37" s="51" t="str">
        <x:v>Already present</x:v>
      </x:c>
      <x:c r="E37" s="51" t="str">
        <x:v>pip install . output</x:v>
      </x:c>
    </x:row>
    <x:row r="38">
      <x:c r="A38" s="26" t="str">
        <x:v>joblib</x:v>
      </x:c>
      <x:c r="B38" s="30" t="str">
        <x:v>1.5.3</x:v>
      </x:c>
      <x:c r="C38" s="51" t="str">
        <x:v>PyFock dependency</x:v>
      </x:c>
      <x:c r="D38" s="51" t="str">
        <x:v>Already present</x:v>
      </x:c>
      <x:c r="E38" s="51" t="str">
        <x:v>pip install . output</x:v>
      </x:c>
    </x:row>
    <x:row r="39">
      <x:c r="A39" s="26" t="str">
        <x:v>numpy</x:v>
      </x:c>
      <x:c r="B39" s="30" t="str">
        <x:v>2.0.2</x:v>
      </x:c>
      <x:c r="C39" s="51" t="str">
        <x:v>PyFock dependency</x:v>
      </x:c>
      <x:c r="D39" s="51" t="str">
        <x:v>Already present</x:v>
      </x:c>
      <x:c r="E39" s="51" t="str">
        <x:v>pip install . output</x:v>
      </x:c>
    </x:row>
    <x:row r="40">
      <x:c r="A40" s="26" t="str">
        <x:v>llvmlite</x:v>
      </x:c>
      <x:c r="B40" s="30" t="str">
        <x:v>0.43.0</x:v>
      </x:c>
      <x:c r="C40" s="51" t="str">
        <x:v>PyFock dependency</x:v>
      </x:c>
      <x:c r="D40" s="51" t="str">
        <x:v>Already present</x:v>
      </x:c>
      <x:c r="E40" s="51" t="str">
        <x:v>pip install . output</x:v>
      </x:c>
    </x:row>
    <x:row r="41">
      <x:c r="A41" s="26" t="str">
        <x:v>opt_einsum</x:v>
      </x:c>
      <x:c r="B41" s="30" t="str">
        <x:v>3.4.0</x:v>
      </x:c>
      <x:c r="C41" s="51" t="str">
        <x:v>PyFock dependency</x:v>
      </x:c>
      <x:c r="D41" s="51" t="str">
        <x:v>Already present</x:v>
      </x:c>
      <x:c r="E41" s="51" t="str">
        <x:v>pip install . output</x:v>
      </x:c>
    </x:row>
    <x:row r="42">
      <x:c r="A42" s="26" t="str">
        <x:v>threadpoolctl</x:v>
      </x:c>
      <x:c r="B42" s="30" t="str">
        <x:v>3.6.0</x:v>
      </x:c>
      <x:c r="C42" s="51" t="str">
        <x:v>PyFock dependency</x:v>
      </x:c>
      <x:c r="D42" s="51" t="str">
        <x:v>Already present</x:v>
      </x:c>
      <x:c r="E42" s="51" t="str">
        <x:v>pip install . output</x:v>
      </x:c>
    </x:row>
    <x:row r="43">
      <x:c r="A43" s="26" t="str">
        <x:v>psutil</x:v>
      </x:c>
      <x:c r="B43" s="30" t="str">
        <x:v>5.9.5</x:v>
      </x:c>
      <x:c r="C43" s="51" t="str">
        <x:v>PyFock dependency</x:v>
      </x:c>
      <x:c r="D43" s="51" t="str">
        <x:v>Already present</x:v>
      </x:c>
      <x:c r="E43" s="51" t="str">
        <x:v>pip install . output</x:v>
      </x:c>
    </x:row>
    <x:row r="44">
      <x:c r="A44" s="26" t="str">
        <x:v>pyscf</x:v>
      </x:c>
      <x:c r="B44" s="30" t="str">
        <x:v>2.14.0</x:v>
      </x:c>
      <x:c r="C44" s="51" t="str">
        <x:v>Grid-generation prerequisite</x:v>
      </x:c>
      <x:c r="D44" s="51" t="str">
        <x:v>Installed during setup</x:v>
      </x:c>
      <x:c r="E44" s="51" t="str">
        <x:v>pip install pyscf output</x:v>
      </x:c>
    </x:row>
    <x:row r="45">
      <x:c r="A45" s="26" t="str">
        <x:v>scipy</x:v>
      </x:c>
      <x:c r="B45" s="30" t="str">
        <x:v>1.16.3</x:v>
      </x:c>
      <x:c r="C45" s="51" t="str">
        <x:v>PySCF prerequisite</x:v>
      </x:c>
      <x:c r="D45" s="51" t="str">
        <x:v>Already present</x:v>
      </x:c>
      <x:c r="E45" s="51" t="str">
        <x:v>setup-cell pip output</x:v>
      </x:c>
    </x:row>
    <x:row r="46">
      <x:c r="A46" s="26" t="str">
        <x:v>h5py</x:v>
      </x:c>
      <x:c r="B46" s="30" t="str">
        <x:v>3.16.0</x:v>
      </x:c>
      <x:c r="C46" s="51" t="str">
        <x:v>PySCF prerequisite</x:v>
      </x:c>
      <x:c r="D46" s="51" t="str">
        <x:v>Already present</x:v>
      </x:c>
      <x:c r="E46" s="51" t="str">
        <x:v>setup-cell pip output</x:v>
      </x:c>
    </x:row>
    <x:row r="47">
      <x:c r="A47" s="27" t="str">
        <x:v>setuptools</x:v>
      </x:c>
      <x:c r="B47" s="53" t="str">
        <x:v>81.0.0</x:v>
      </x:c>
      <x:c r="C47" s="52" t="str">
        <x:v>PySCF prerequisite</x:v>
      </x:c>
      <x:c r="D47" s="52" t="str">
        <x:v>Already present</x:v>
      </x:c>
      <x:c r="E47" s="52" t="str">
        <x:v>setup-cell pip output</x:v>
      </x:c>
    </x:row>
  </x:sheetData>
  <x:mergeCells>
    <x:mergeCell ref="A1:M1"/>
    <x:mergeCell ref="A2:M2"/>
    <x:mergeCell ref="G10:M10"/>
    <x:mergeCell ref="A30:E30"/>
    <x:mergeCell ref="G18:M18"/>
  </x:mergeCells>
  <x:pageMargins left="0.7" right="0.7" top="0.75" bottom="0.75" header="0.3" footer="0.3"/>
</x:worksheet>
</file>