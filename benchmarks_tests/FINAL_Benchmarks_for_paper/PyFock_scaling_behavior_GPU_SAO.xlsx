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42EEB022-51E6-CD42-8249-4BBFEF11CF52}" xr6:coauthVersionLast="47" xr6:coauthVersionMax="47" xr10:uidLastSave="{00000000-0000-0000-0000-000000000000}"/>
  <bookViews>
    <workbookView xWindow="11380" yWindow="3860" windowWidth="28040" windowHeight="16740" xr2:uid="{580CF0B2-FD39-1547-AD8E-82680C38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7" i="1"/>
  <c r="H8" i="1"/>
  <c r="H9" i="1"/>
  <c r="H10" i="1"/>
  <c r="H11" i="1"/>
  <c r="H12" i="1"/>
  <c r="H13" i="1"/>
  <c r="H14" i="1"/>
  <c r="H15" i="1"/>
  <c r="H7" i="1"/>
  <c r="G8" i="1"/>
  <c r="G9" i="1"/>
  <c r="G10" i="1"/>
  <c r="G11" i="1"/>
  <c r="G12" i="1"/>
  <c r="G13" i="1"/>
  <c r="G14" i="1"/>
  <c r="G15" i="1"/>
  <c r="G7" i="1"/>
</calcChain>
</file>

<file path=xl/sharedStrings.xml><?xml version="1.0" encoding="utf-8"?>
<sst xmlns="http://schemas.openxmlformats.org/spreadsheetml/2006/main" count="21" uniqueCount="13">
  <si>
    <t>Scaling behavior</t>
  </si>
  <si>
    <t>CPU PyFock</t>
  </si>
  <si>
    <t>3D water clusters</t>
  </si>
  <si>
    <t>No. of water molecules</t>
  </si>
  <si>
    <t>No. of basis functions</t>
  </si>
  <si>
    <t>Total Time Taken (s)</t>
  </si>
  <si>
    <t>J time (s)</t>
  </si>
  <si>
    <t>XC (s)</t>
  </si>
  <si>
    <t>Total Time Taken (s) / iter</t>
  </si>
  <si>
    <t>J time (s) / iter</t>
  </si>
  <si>
    <t>XC (s) / iter</t>
  </si>
  <si>
    <t>Iterations</t>
  </si>
  <si>
    <t>All calculations on 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</si>
</sst>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PyFock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Sheet1!$B$20:$B$28</c:f>
              <c:numCache>
                <c:formatCode>General</c:formatCode>
                <c:ptCount val="9"/>
                <c:pt idx="2">
                  <c:v>0.18307692307692308</c:v>
                </c:pt>
                <c:pt idx="3">
                  <c:v>0.40384615384615385</c:v>
                </c:pt>
                <c:pt idx="4">
                  <c:v>0.70733333333333326</c:v>
                </c:pt>
                <c:pt idx="5">
                  <c:v>1.2593749999999999</c:v>
                </c:pt>
                <c:pt idx="6">
                  <c:v>2.7888235294117645</c:v>
                </c:pt>
                <c:pt idx="7">
                  <c:v>4.65625</c:v>
                </c:pt>
                <c:pt idx="8">
                  <c:v>9.4428571428571413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Sheet1!$C$20:$C$28</c:f>
              <c:numCache>
                <c:formatCode>General</c:formatCode>
                <c:ptCount val="9"/>
                <c:pt idx="2">
                  <c:v>5.2307692307692312E-2</c:v>
                </c:pt>
                <c:pt idx="3">
                  <c:v>0.15076923076923077</c:v>
                </c:pt>
                <c:pt idx="4">
                  <c:v>0.29533333333333334</c:v>
                </c:pt>
                <c:pt idx="5">
                  <c:v>0.59812500000000002</c:v>
                </c:pt>
                <c:pt idx="6">
                  <c:v>1.4447058823529411</c:v>
                </c:pt>
                <c:pt idx="7">
                  <c:v>2.7056249999999999</c:v>
                </c:pt>
                <c:pt idx="8">
                  <c:v>6.0992857142857142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FE-AE49-9275-0B20C9913E70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Sheet1!$D$20:$D$28</c:f>
              <c:numCache>
                <c:formatCode>General</c:formatCode>
                <c:ptCount val="9"/>
                <c:pt idx="2">
                  <c:v>8.1538461538461546E-2</c:v>
                </c:pt>
                <c:pt idx="3">
                  <c:v>0.15923076923076923</c:v>
                </c:pt>
                <c:pt idx="4">
                  <c:v>0.25600000000000001</c:v>
                </c:pt>
                <c:pt idx="5">
                  <c:v>0.39750000000000002</c:v>
                </c:pt>
                <c:pt idx="6">
                  <c:v>0.74411764705882355</c:v>
                </c:pt>
                <c:pt idx="7">
                  <c:v>1.0225</c:v>
                </c:pt>
                <c:pt idx="8">
                  <c:v>1.5685714285714287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PyFock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Sheet1!$H$20:$H$28</c:f>
              <c:numCache>
                <c:formatCode>General</c:formatCode>
                <c:ptCount val="9"/>
                <c:pt idx="2">
                  <c:v>0.18307692307692308</c:v>
                </c:pt>
                <c:pt idx="3">
                  <c:v>0.40384615384615385</c:v>
                </c:pt>
                <c:pt idx="4">
                  <c:v>0.70733333333333326</c:v>
                </c:pt>
                <c:pt idx="5">
                  <c:v>1.2593749999999999</c:v>
                </c:pt>
                <c:pt idx="6">
                  <c:v>2.7888235294117645</c:v>
                </c:pt>
                <c:pt idx="7">
                  <c:v>4.65625</c:v>
                </c:pt>
                <c:pt idx="8">
                  <c:v>9.4428571428571413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ser>
          <c:idx val="1"/>
          <c:order val="1"/>
          <c:tx>
            <c:strRef>
              <c:f>Sheet1!$I$19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Sheet1!$I$20:$I$28</c:f>
              <c:numCache>
                <c:formatCode>General</c:formatCode>
                <c:ptCount val="9"/>
                <c:pt idx="2">
                  <c:v>5.2307692307692312E-2</c:v>
                </c:pt>
                <c:pt idx="3">
                  <c:v>0.15076923076923077</c:v>
                </c:pt>
                <c:pt idx="4">
                  <c:v>0.29533333333333334</c:v>
                </c:pt>
                <c:pt idx="5">
                  <c:v>0.59812500000000002</c:v>
                </c:pt>
                <c:pt idx="6">
                  <c:v>1.4447058823529411</c:v>
                </c:pt>
                <c:pt idx="7">
                  <c:v>2.7056249999999999</c:v>
                </c:pt>
                <c:pt idx="8">
                  <c:v>6.0992857142857142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6-7C4C-8466-D9C62B7BEA72}"/>
            </c:ext>
          </c:extLst>
        </c:ser>
        <c:ser>
          <c:idx val="2"/>
          <c:order val="2"/>
          <c:tx>
            <c:strRef>
              <c:f>Sheet1!$J$19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Sheet1!$J$20:$J$28</c:f>
              <c:numCache>
                <c:formatCode>General</c:formatCode>
                <c:ptCount val="9"/>
                <c:pt idx="2">
                  <c:v>8.1538461538461546E-2</c:v>
                </c:pt>
                <c:pt idx="3">
                  <c:v>0.15923076923076923</c:v>
                </c:pt>
                <c:pt idx="4">
                  <c:v>0.25600000000000001</c:v>
                </c:pt>
                <c:pt idx="5">
                  <c:v>0.39750000000000002</c:v>
                </c:pt>
                <c:pt idx="6">
                  <c:v>0.74411764705882355</c:v>
                </c:pt>
                <c:pt idx="7">
                  <c:v>1.0225</c:v>
                </c:pt>
                <c:pt idx="8">
                  <c:v>1.5685714285714287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28</xdr:row>
      <xdr:rowOff>82550</xdr:rowOff>
    </xdr:from>
    <xdr:to>
      <xdr:col>4</xdr:col>
      <xdr:colOff>228600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28</xdr:row>
      <xdr:rowOff>101600</xdr:rowOff>
    </xdr:from>
    <xdr:to>
      <xdr:col>10</xdr:col>
      <xdr:colOff>330200</xdr:colOff>
      <xdr:row>46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8"/>
  <sheetViews>
    <sheetView tabSelected="1" topLeftCell="A4" workbookViewId="0">
      <selection activeCell="D22" sqref="D22:D28"/>
    </sheetView>
  </sheetViews>
  <sheetFormatPr baseColWidth="10" defaultRowHeight="16" x14ac:dyDescent="0.2"/>
  <cols>
    <col min="1" max="1" width="20" customWidth="1"/>
    <col min="2" max="2" width="18.83203125" customWidth="1"/>
    <col min="3" max="3" width="17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12</v>
      </c>
    </row>
    <row r="3" spans="1:9" x14ac:dyDescent="0.2">
      <c r="A3" s="2" t="s">
        <v>1</v>
      </c>
    </row>
    <row r="4" spans="1:9" x14ac:dyDescent="0.2">
      <c r="A4" s="2" t="s">
        <v>2</v>
      </c>
    </row>
    <row r="6" spans="1:9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</v>
      </c>
      <c r="G6" s="2" t="s">
        <v>8</v>
      </c>
      <c r="H6" s="2" t="s">
        <v>9</v>
      </c>
      <c r="I6" s="2" t="s">
        <v>10</v>
      </c>
    </row>
    <row r="7" spans="1:9" x14ac:dyDescent="0.2">
      <c r="A7">
        <v>1</v>
      </c>
      <c r="C7" s="1"/>
      <c r="D7" s="1"/>
      <c r="E7" s="1"/>
      <c r="F7" s="1"/>
      <c r="G7" t="e">
        <f>C7/F7</f>
        <v>#DIV/0!</v>
      </c>
      <c r="H7" t="e">
        <f>D7/F7</f>
        <v>#DIV/0!</v>
      </c>
      <c r="I7" t="e">
        <f>E7/F7</f>
        <v>#DIV/0!</v>
      </c>
    </row>
    <row r="8" spans="1:9" x14ac:dyDescent="0.2">
      <c r="A8">
        <v>5</v>
      </c>
      <c r="B8">
        <v>120</v>
      </c>
      <c r="C8" s="1"/>
      <c r="D8" s="1"/>
      <c r="E8" s="1"/>
      <c r="F8" s="1"/>
      <c r="G8" t="e">
        <f t="shared" ref="G8:G15" si="0">C8/F8</f>
        <v>#DIV/0!</v>
      </c>
      <c r="H8" t="e">
        <f t="shared" ref="H8:H15" si="1">D8/F8</f>
        <v>#DIV/0!</v>
      </c>
      <c r="I8" t="e">
        <f t="shared" ref="I8:I15" si="2">E8/F8</f>
        <v>#DIV/0!</v>
      </c>
    </row>
    <row r="9" spans="1:9" x14ac:dyDescent="0.2">
      <c r="A9">
        <v>10</v>
      </c>
      <c r="B9">
        <v>240</v>
      </c>
      <c r="C9" s="1">
        <v>2.38</v>
      </c>
      <c r="D9" s="1">
        <v>0.68</v>
      </c>
      <c r="E9" s="1">
        <v>1.06</v>
      </c>
      <c r="F9" s="1">
        <v>13</v>
      </c>
      <c r="G9">
        <f t="shared" si="0"/>
        <v>0.18307692307692308</v>
      </c>
      <c r="H9">
        <f t="shared" si="1"/>
        <v>5.2307692307692312E-2</v>
      </c>
      <c r="I9">
        <f t="shared" si="2"/>
        <v>8.1538461538461546E-2</v>
      </c>
    </row>
    <row r="10" spans="1:9" x14ac:dyDescent="0.2">
      <c r="A10">
        <v>20</v>
      </c>
      <c r="B10">
        <v>480</v>
      </c>
      <c r="C10" s="1">
        <v>5.25</v>
      </c>
      <c r="D10" s="1">
        <v>1.96</v>
      </c>
      <c r="E10" s="1">
        <v>2.0699999999999998</v>
      </c>
      <c r="F10" s="1">
        <v>13</v>
      </c>
      <c r="G10">
        <f t="shared" si="0"/>
        <v>0.40384615384615385</v>
      </c>
      <c r="H10">
        <f t="shared" si="1"/>
        <v>0.15076923076923077</v>
      </c>
      <c r="I10">
        <f t="shared" si="2"/>
        <v>0.15923076923076923</v>
      </c>
    </row>
    <row r="11" spans="1:9" x14ac:dyDescent="0.2">
      <c r="A11">
        <v>32</v>
      </c>
      <c r="B11">
        <v>768</v>
      </c>
      <c r="C11" s="1">
        <v>10.61</v>
      </c>
      <c r="D11" s="1">
        <v>4.43</v>
      </c>
      <c r="E11" s="1">
        <v>3.84</v>
      </c>
      <c r="F11" s="1">
        <v>15</v>
      </c>
      <c r="G11">
        <f t="shared" si="0"/>
        <v>0.70733333333333326</v>
      </c>
      <c r="H11">
        <f t="shared" si="1"/>
        <v>0.29533333333333334</v>
      </c>
      <c r="I11">
        <f t="shared" si="2"/>
        <v>0.25600000000000001</v>
      </c>
    </row>
    <row r="12" spans="1:9" x14ac:dyDescent="0.2">
      <c r="A12">
        <v>47</v>
      </c>
      <c r="B12">
        <v>1128</v>
      </c>
      <c r="C12" s="1">
        <v>20.149999999999999</v>
      </c>
      <c r="D12" s="1">
        <v>9.57</v>
      </c>
      <c r="E12" s="1">
        <v>6.36</v>
      </c>
      <c r="F12" s="1">
        <v>16</v>
      </c>
      <c r="G12">
        <f t="shared" si="0"/>
        <v>1.2593749999999999</v>
      </c>
      <c r="H12">
        <f t="shared" si="1"/>
        <v>0.59812500000000002</v>
      </c>
      <c r="I12">
        <f t="shared" si="2"/>
        <v>0.39750000000000002</v>
      </c>
    </row>
    <row r="13" spans="1:9" x14ac:dyDescent="0.2">
      <c r="A13">
        <v>76</v>
      </c>
      <c r="B13">
        <v>1824</v>
      </c>
      <c r="C13" s="1">
        <v>47.41</v>
      </c>
      <c r="D13" s="1">
        <v>24.56</v>
      </c>
      <c r="E13" s="1">
        <v>12.65</v>
      </c>
      <c r="F13" s="1">
        <v>17</v>
      </c>
      <c r="G13">
        <f t="shared" si="0"/>
        <v>2.7888235294117645</v>
      </c>
      <c r="H13">
        <f t="shared" si="1"/>
        <v>1.4447058823529411</v>
      </c>
      <c r="I13">
        <f t="shared" si="2"/>
        <v>0.74411764705882355</v>
      </c>
    </row>
    <row r="14" spans="1:9" x14ac:dyDescent="0.2">
      <c r="A14">
        <v>100</v>
      </c>
      <c r="B14">
        <v>2400</v>
      </c>
      <c r="C14" s="1">
        <v>74.5</v>
      </c>
      <c r="D14" s="1">
        <v>43.29</v>
      </c>
      <c r="E14" s="1">
        <v>16.36</v>
      </c>
      <c r="F14" s="1">
        <v>16</v>
      </c>
      <c r="G14">
        <f t="shared" si="0"/>
        <v>4.65625</v>
      </c>
      <c r="H14">
        <f t="shared" si="1"/>
        <v>2.7056249999999999</v>
      </c>
      <c r="I14">
        <f t="shared" si="2"/>
        <v>1.0225</v>
      </c>
    </row>
    <row r="15" spans="1:9" x14ac:dyDescent="0.2">
      <c r="A15">
        <v>139</v>
      </c>
      <c r="B15">
        <v>3336</v>
      </c>
      <c r="C15" s="1">
        <v>132.19999999999999</v>
      </c>
      <c r="D15" s="1">
        <v>85.39</v>
      </c>
      <c r="E15" s="1">
        <v>21.96</v>
      </c>
      <c r="F15" s="1">
        <v>14</v>
      </c>
      <c r="G15">
        <f t="shared" si="0"/>
        <v>9.4428571428571413</v>
      </c>
      <c r="H15">
        <f t="shared" si="1"/>
        <v>6.0992857142857142</v>
      </c>
      <c r="I15">
        <f t="shared" si="2"/>
        <v>1.5685714285714287</v>
      </c>
    </row>
    <row r="19" spans="1:10" x14ac:dyDescent="0.2">
      <c r="A19" s="2" t="s">
        <v>3</v>
      </c>
      <c r="B19" s="2" t="s">
        <v>8</v>
      </c>
      <c r="C19" s="2" t="s">
        <v>9</v>
      </c>
      <c r="D19" s="2" t="s">
        <v>10</v>
      </c>
      <c r="G19" s="2" t="s">
        <v>4</v>
      </c>
      <c r="H19" s="2" t="s">
        <v>8</v>
      </c>
      <c r="I19" s="2" t="s">
        <v>9</v>
      </c>
      <c r="J19" s="2" t="s">
        <v>10</v>
      </c>
    </row>
    <row r="20" spans="1:10" x14ac:dyDescent="0.2">
      <c r="A20">
        <v>1</v>
      </c>
      <c r="G20">
        <v>25</v>
      </c>
    </row>
    <row r="21" spans="1:10" x14ac:dyDescent="0.2">
      <c r="A21">
        <v>5</v>
      </c>
      <c r="G21">
        <v>125</v>
      </c>
    </row>
    <row r="22" spans="1:10" x14ac:dyDescent="0.2">
      <c r="A22">
        <v>10</v>
      </c>
      <c r="B22">
        <v>0.18307692307692308</v>
      </c>
      <c r="C22">
        <v>5.2307692307692312E-2</v>
      </c>
      <c r="D22">
        <v>8.1538461538461546E-2</v>
      </c>
      <c r="G22">
        <v>250</v>
      </c>
      <c r="H22">
        <v>0.18307692307692308</v>
      </c>
      <c r="I22">
        <v>5.2307692307692312E-2</v>
      </c>
      <c r="J22">
        <v>8.1538461538461546E-2</v>
      </c>
    </row>
    <row r="23" spans="1:10" x14ac:dyDescent="0.2">
      <c r="A23">
        <v>20</v>
      </c>
      <c r="B23">
        <v>0.40384615384615385</v>
      </c>
      <c r="C23">
        <v>0.15076923076923077</v>
      </c>
      <c r="D23">
        <v>0.15923076923076923</v>
      </c>
      <c r="G23">
        <v>500</v>
      </c>
      <c r="H23">
        <v>0.40384615384615385</v>
      </c>
      <c r="I23">
        <v>0.15076923076923077</v>
      </c>
      <c r="J23">
        <v>0.15923076923076923</v>
      </c>
    </row>
    <row r="24" spans="1:10" x14ac:dyDescent="0.2">
      <c r="A24">
        <v>32</v>
      </c>
      <c r="B24">
        <v>0.70733333333333326</v>
      </c>
      <c r="C24">
        <v>0.29533333333333334</v>
      </c>
      <c r="D24">
        <v>0.25600000000000001</v>
      </c>
      <c r="G24">
        <v>800</v>
      </c>
      <c r="H24">
        <v>0.70733333333333326</v>
      </c>
      <c r="I24">
        <v>0.29533333333333334</v>
      </c>
      <c r="J24">
        <v>0.25600000000000001</v>
      </c>
    </row>
    <row r="25" spans="1:10" x14ac:dyDescent="0.2">
      <c r="A25">
        <v>47</v>
      </c>
      <c r="B25">
        <v>1.2593749999999999</v>
      </c>
      <c r="C25">
        <v>0.59812500000000002</v>
      </c>
      <c r="D25">
        <v>0.39750000000000002</v>
      </c>
      <c r="G25">
        <v>1175</v>
      </c>
      <c r="H25">
        <v>1.2593749999999999</v>
      </c>
      <c r="I25">
        <v>0.59812500000000002</v>
      </c>
      <c r="J25">
        <v>0.39750000000000002</v>
      </c>
    </row>
    <row r="26" spans="1:10" x14ac:dyDescent="0.2">
      <c r="A26">
        <v>76</v>
      </c>
      <c r="B26">
        <v>2.7888235294117645</v>
      </c>
      <c r="C26">
        <v>1.4447058823529411</v>
      </c>
      <c r="D26">
        <v>0.74411764705882355</v>
      </c>
      <c r="G26">
        <v>1900</v>
      </c>
      <c r="H26">
        <v>2.7888235294117645</v>
      </c>
      <c r="I26">
        <v>1.4447058823529411</v>
      </c>
      <c r="J26">
        <v>0.74411764705882355</v>
      </c>
    </row>
    <row r="27" spans="1:10" x14ac:dyDescent="0.2">
      <c r="A27">
        <v>100</v>
      </c>
      <c r="B27">
        <v>4.65625</v>
      </c>
      <c r="C27">
        <v>2.7056249999999999</v>
      </c>
      <c r="D27">
        <v>1.0225</v>
      </c>
      <c r="G27">
        <v>2500</v>
      </c>
      <c r="H27">
        <v>4.65625</v>
      </c>
      <c r="I27">
        <v>2.7056249999999999</v>
      </c>
      <c r="J27">
        <v>1.0225</v>
      </c>
    </row>
    <row r="28" spans="1:10" x14ac:dyDescent="0.2">
      <c r="A28">
        <v>139</v>
      </c>
      <c r="B28">
        <v>9.4428571428571413</v>
      </c>
      <c r="C28">
        <v>6.0992857142857142</v>
      </c>
      <c r="D28">
        <v>1.5685714285714287</v>
      </c>
      <c r="G28">
        <v>3475</v>
      </c>
      <c r="H28">
        <v>9.4428571428571413</v>
      </c>
      <c r="I28">
        <v>6.0992857142857142</v>
      </c>
      <c r="J28">
        <v>1.5685714285714287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2026-04-30T09:29:50Z</dcterms:modified>
</cp:coreProperties>
</file>