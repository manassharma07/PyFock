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__Benchmarks_Paper_IJQC/FINAL_Benchmarks_for_paper/"/>
    </mc:Choice>
  </mc:AlternateContent>
  <xr:revisionPtr revIDLastSave="0" documentId="13_ncr:1_{5F4106BF-5F9D-6347-9C97-6BE8EF5AD700}" xr6:coauthVersionLast="47" xr6:coauthVersionMax="47" xr10:uidLastSave="{00000000-0000-0000-0000-000000000000}"/>
  <bookViews>
    <workbookView xWindow="1360" yWindow="760" windowWidth="28040" windowHeight="16860" xr2:uid="{580CF0B2-FD39-1547-AD8E-82680C382266}"/>
  </bookViews>
  <sheets>
    <sheet name="def2-SV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7" i="1"/>
  <c r="H8" i="1"/>
  <c r="H9" i="1"/>
  <c r="H10" i="1"/>
  <c r="H11" i="1"/>
  <c r="H12" i="1"/>
  <c r="H13" i="1"/>
  <c r="H14" i="1"/>
  <c r="H15" i="1"/>
  <c r="H7" i="1"/>
  <c r="G8" i="1"/>
  <c r="G9" i="1"/>
  <c r="G10" i="1"/>
  <c r="G11" i="1"/>
  <c r="G12" i="1"/>
  <c r="G13" i="1"/>
  <c r="G14" i="1"/>
  <c r="G15" i="1"/>
  <c r="G7" i="1"/>
</calcChain>
</file>

<file path=xl/sharedStrings.xml><?xml version="1.0" encoding="utf-8"?>
<sst xmlns="http://schemas.openxmlformats.org/spreadsheetml/2006/main" count="21" uniqueCount="13">
  <si>
    <t>Scaling behavior</t>
  </si>
  <si>
    <t>CPU PyFock</t>
  </si>
  <si>
    <t>3D water clusters</t>
  </si>
  <si>
    <t>No. of water molecules</t>
  </si>
  <si>
    <t>No. of basis functions</t>
  </si>
  <si>
    <t>Total Time Taken (s)</t>
  </si>
  <si>
    <t>J time (s)</t>
  </si>
  <si>
    <t>XC (s)</t>
  </si>
  <si>
    <t>Total Time Taken (s) / iter</t>
  </si>
  <si>
    <t>J time (s) / iter</t>
  </si>
  <si>
    <t>XC (s) / iter</t>
  </si>
  <si>
    <t>Iterations</t>
  </si>
  <si>
    <t>All calculations on 4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</si>
</sst>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PyFock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'def2-SVP'!$B$19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'def2-SVP'!$B$20:$B$28</c:f>
              <c:numCache>
                <c:formatCode>0.000</c:formatCode>
                <c:ptCount val="9"/>
                <c:pt idx="1">
                  <c:v>0.11599999999999999</c:v>
                </c:pt>
                <c:pt idx="2">
                  <c:v>0.20153846153846156</c:v>
                </c:pt>
                <c:pt idx="3">
                  <c:v>0.46076923076923076</c:v>
                </c:pt>
                <c:pt idx="4">
                  <c:v>0.81133333333333335</c:v>
                </c:pt>
                <c:pt idx="5">
                  <c:v>1.526</c:v>
                </c:pt>
                <c:pt idx="6">
                  <c:v>3.2852941176470587</c:v>
                </c:pt>
                <c:pt idx="7">
                  <c:v>5.8793333333333333</c:v>
                </c:pt>
                <c:pt idx="8">
                  <c:v>10.65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E-AE49-9275-0B20C9913E70}"/>
            </c:ext>
          </c:extLst>
        </c:ser>
        <c:ser>
          <c:idx val="1"/>
          <c:order val="1"/>
          <c:tx>
            <c:strRef>
              <c:f>'def2-SVP'!$C$19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'def2-SVP'!$A$20:$A$28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'def2-SVP'!$C$20:$C$28</c:f>
              <c:numCache>
                <c:formatCode>0.000</c:formatCode>
                <c:ptCount val="9"/>
                <c:pt idx="1">
                  <c:v>2.6000000000000002E-2</c:v>
                </c:pt>
                <c:pt idx="2">
                  <c:v>5.0769230769230775E-2</c:v>
                </c:pt>
                <c:pt idx="3">
                  <c:v>0.15769230769230769</c:v>
                </c:pt>
                <c:pt idx="4">
                  <c:v>0.34199999999999997</c:v>
                </c:pt>
                <c:pt idx="5">
                  <c:v>0.77066666666666672</c:v>
                </c:pt>
                <c:pt idx="6">
                  <c:v>1.8570588235294119</c:v>
                </c:pt>
                <c:pt idx="7">
                  <c:v>3.7719999999999998</c:v>
                </c:pt>
                <c:pt idx="8">
                  <c:v>7.1312499999999996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FE-AE49-9275-0B20C9913E70}"/>
            </c:ext>
          </c:extLst>
        </c:ser>
        <c:ser>
          <c:idx val="2"/>
          <c:order val="2"/>
          <c:tx>
            <c:strRef>
              <c:f>'def2-SVP'!$D$19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'def2-SVP'!$A$20:$A$28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'def2-SVP'!$D$20:$D$28</c:f>
              <c:numCache>
                <c:formatCode>0.000</c:formatCode>
                <c:ptCount val="9"/>
                <c:pt idx="1">
                  <c:v>5.2000000000000005E-2</c:v>
                </c:pt>
                <c:pt idx="2">
                  <c:v>8.8461538461538453E-2</c:v>
                </c:pt>
                <c:pt idx="3">
                  <c:v>0.16692307692307692</c:v>
                </c:pt>
                <c:pt idx="4">
                  <c:v>0.26266666666666666</c:v>
                </c:pt>
                <c:pt idx="5">
                  <c:v>0.41266666666666668</c:v>
                </c:pt>
                <c:pt idx="6">
                  <c:v>0.7770588235294118</c:v>
                </c:pt>
                <c:pt idx="7">
                  <c:v>1.0753333333333333</c:v>
                </c:pt>
                <c:pt idx="8">
                  <c:v>1.639375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FE-AE49-9275-0B20C991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PyFock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'def2-SVP'!$H$19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'def2-SVP'!$H$20:$H$28</c:f>
              <c:numCache>
                <c:formatCode>0.000</c:formatCode>
                <c:ptCount val="9"/>
                <c:pt idx="1">
                  <c:v>0.11599999999999999</c:v>
                </c:pt>
                <c:pt idx="2">
                  <c:v>0.20153846153846156</c:v>
                </c:pt>
                <c:pt idx="3">
                  <c:v>0.46076923076923076</c:v>
                </c:pt>
                <c:pt idx="4">
                  <c:v>0.81133333333333335</c:v>
                </c:pt>
                <c:pt idx="5">
                  <c:v>1.526</c:v>
                </c:pt>
                <c:pt idx="6">
                  <c:v>3.2852941176470587</c:v>
                </c:pt>
                <c:pt idx="7">
                  <c:v>5.8793333333333333</c:v>
                </c:pt>
                <c:pt idx="8">
                  <c:v>10.65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7C4C-8466-D9C62B7BEA72}"/>
            </c:ext>
          </c:extLst>
        </c:ser>
        <c:ser>
          <c:idx val="1"/>
          <c:order val="1"/>
          <c:tx>
            <c:strRef>
              <c:f>'def2-SVP'!$I$19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'def2-SVP'!$G$20:$G$28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'def2-SVP'!$I$20:$I$28</c:f>
              <c:numCache>
                <c:formatCode>0.000</c:formatCode>
                <c:ptCount val="9"/>
                <c:pt idx="1">
                  <c:v>2.6000000000000002E-2</c:v>
                </c:pt>
                <c:pt idx="2">
                  <c:v>5.0769230769230775E-2</c:v>
                </c:pt>
                <c:pt idx="3">
                  <c:v>0.15769230769230769</c:v>
                </c:pt>
                <c:pt idx="4">
                  <c:v>0.34199999999999997</c:v>
                </c:pt>
                <c:pt idx="5">
                  <c:v>0.77066666666666672</c:v>
                </c:pt>
                <c:pt idx="6">
                  <c:v>1.8570588235294119</c:v>
                </c:pt>
                <c:pt idx="7">
                  <c:v>3.7719999999999998</c:v>
                </c:pt>
                <c:pt idx="8">
                  <c:v>7.1312499999999996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6-7C4C-8466-D9C62B7BEA72}"/>
            </c:ext>
          </c:extLst>
        </c:ser>
        <c:ser>
          <c:idx val="2"/>
          <c:order val="2"/>
          <c:tx>
            <c:strRef>
              <c:f>'def2-SVP'!$J$19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'def2-SVP'!$G$20:$G$28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'def2-SVP'!$J$20:$J$28</c:f>
              <c:numCache>
                <c:formatCode>0.000</c:formatCode>
                <c:ptCount val="9"/>
                <c:pt idx="1">
                  <c:v>5.2000000000000005E-2</c:v>
                </c:pt>
                <c:pt idx="2">
                  <c:v>8.8461538461538453E-2</c:v>
                </c:pt>
                <c:pt idx="3">
                  <c:v>0.16692307692307692</c:v>
                </c:pt>
                <c:pt idx="4">
                  <c:v>0.26266666666666666</c:v>
                </c:pt>
                <c:pt idx="5">
                  <c:v>0.41266666666666668</c:v>
                </c:pt>
                <c:pt idx="6">
                  <c:v>0.7770588235294118</c:v>
                </c:pt>
                <c:pt idx="7">
                  <c:v>1.0753333333333333</c:v>
                </c:pt>
                <c:pt idx="8">
                  <c:v>1.639375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26-7C4C-8466-D9C62B7B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28</xdr:row>
      <xdr:rowOff>82550</xdr:rowOff>
    </xdr:from>
    <xdr:to>
      <xdr:col>4</xdr:col>
      <xdr:colOff>228600</xdr:colOff>
      <xdr:row>45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B6D7B7-DFA0-61C0-EFD8-CBEAD44E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28</xdr:row>
      <xdr:rowOff>101600</xdr:rowOff>
    </xdr:from>
    <xdr:to>
      <xdr:col>10</xdr:col>
      <xdr:colOff>330200</xdr:colOff>
      <xdr:row>46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F7E02-0B00-0C81-DC95-941D9318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J29"/>
  <sheetViews>
    <sheetView tabSelected="1" topLeftCell="A10" workbookViewId="0">
      <selection activeCell="K23" sqref="K23"/>
    </sheetView>
  </sheetViews>
  <sheetFormatPr baseColWidth="10" defaultRowHeight="16" x14ac:dyDescent="0.2"/>
  <cols>
    <col min="1" max="1" width="20" customWidth="1"/>
    <col min="2" max="2" width="18.83203125" customWidth="1"/>
    <col min="3" max="3" width="17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12</v>
      </c>
    </row>
    <row r="3" spans="1:9" x14ac:dyDescent="0.2">
      <c r="A3" s="2" t="s">
        <v>1</v>
      </c>
    </row>
    <row r="4" spans="1:9" x14ac:dyDescent="0.2">
      <c r="A4" s="2" t="s">
        <v>2</v>
      </c>
    </row>
    <row r="6" spans="1:9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</v>
      </c>
      <c r="G6" s="2" t="s">
        <v>8</v>
      </c>
      <c r="H6" s="2" t="s">
        <v>9</v>
      </c>
      <c r="I6" s="2" t="s">
        <v>10</v>
      </c>
    </row>
    <row r="7" spans="1:9" x14ac:dyDescent="0.2">
      <c r="A7">
        <v>1</v>
      </c>
      <c r="B7">
        <v>25</v>
      </c>
      <c r="C7" s="1"/>
      <c r="D7" s="1"/>
      <c r="E7" s="1"/>
      <c r="F7" s="1">
        <v>8</v>
      </c>
      <c r="G7">
        <f>C7/F7</f>
        <v>0</v>
      </c>
      <c r="H7">
        <f>D7/F7</f>
        <v>0</v>
      </c>
      <c r="I7">
        <f>E7/F7</f>
        <v>0</v>
      </c>
    </row>
    <row r="8" spans="1:9" x14ac:dyDescent="0.2">
      <c r="A8">
        <v>5</v>
      </c>
      <c r="B8">
        <v>125</v>
      </c>
      <c r="C8" s="1">
        <v>1.1599999999999999</v>
      </c>
      <c r="D8" s="1">
        <v>0.26</v>
      </c>
      <c r="E8" s="1">
        <v>0.52</v>
      </c>
      <c r="F8" s="1">
        <v>10</v>
      </c>
      <c r="G8">
        <f t="shared" ref="G8:G15" si="0">C8/F8</f>
        <v>0.11599999999999999</v>
      </c>
      <c r="H8">
        <f t="shared" ref="H8:H15" si="1">D8/F8</f>
        <v>2.6000000000000002E-2</v>
      </c>
      <c r="I8">
        <f t="shared" ref="I8:I15" si="2">E8/F8</f>
        <v>5.2000000000000005E-2</v>
      </c>
    </row>
    <row r="9" spans="1:9" x14ac:dyDescent="0.2">
      <c r="A9">
        <v>10</v>
      </c>
      <c r="B9">
        <v>250</v>
      </c>
      <c r="C9" s="1">
        <v>2.62</v>
      </c>
      <c r="D9" s="1">
        <v>0.66</v>
      </c>
      <c r="E9" s="1">
        <v>1.1499999999999999</v>
      </c>
      <c r="F9" s="1">
        <v>13</v>
      </c>
      <c r="G9">
        <f t="shared" si="0"/>
        <v>0.20153846153846156</v>
      </c>
      <c r="H9">
        <f t="shared" si="1"/>
        <v>5.0769230769230775E-2</v>
      </c>
      <c r="I9">
        <f t="shared" si="2"/>
        <v>8.8461538461538453E-2</v>
      </c>
    </row>
    <row r="10" spans="1:9" x14ac:dyDescent="0.2">
      <c r="A10">
        <v>20</v>
      </c>
      <c r="B10">
        <v>500</v>
      </c>
      <c r="C10" s="1">
        <v>5.99</v>
      </c>
      <c r="D10" s="1">
        <v>2.0499999999999998</v>
      </c>
      <c r="E10" s="1">
        <v>2.17</v>
      </c>
      <c r="F10" s="1">
        <v>13</v>
      </c>
      <c r="G10">
        <f t="shared" si="0"/>
        <v>0.46076923076923076</v>
      </c>
      <c r="H10">
        <f t="shared" si="1"/>
        <v>0.15769230769230769</v>
      </c>
      <c r="I10">
        <f t="shared" si="2"/>
        <v>0.16692307692307692</v>
      </c>
    </row>
    <row r="11" spans="1:9" x14ac:dyDescent="0.2">
      <c r="A11">
        <v>32</v>
      </c>
      <c r="B11">
        <v>800</v>
      </c>
      <c r="C11" s="1">
        <v>12.17</v>
      </c>
      <c r="D11" s="1">
        <v>5.13</v>
      </c>
      <c r="E11" s="1">
        <v>3.94</v>
      </c>
      <c r="F11" s="1">
        <v>15</v>
      </c>
      <c r="G11">
        <f t="shared" si="0"/>
        <v>0.81133333333333335</v>
      </c>
      <c r="H11">
        <f t="shared" si="1"/>
        <v>0.34199999999999997</v>
      </c>
      <c r="I11">
        <f t="shared" si="2"/>
        <v>0.26266666666666666</v>
      </c>
    </row>
    <row r="12" spans="1:9" x14ac:dyDescent="0.2">
      <c r="A12">
        <v>47</v>
      </c>
      <c r="B12">
        <v>1175</v>
      </c>
      <c r="C12" s="1">
        <v>22.89</v>
      </c>
      <c r="D12" s="1">
        <v>11.56</v>
      </c>
      <c r="E12" s="1">
        <v>6.19</v>
      </c>
      <c r="F12" s="1">
        <v>15</v>
      </c>
      <c r="G12">
        <f t="shared" si="0"/>
        <v>1.526</v>
      </c>
      <c r="H12">
        <f t="shared" si="1"/>
        <v>0.77066666666666672</v>
      </c>
      <c r="I12">
        <f t="shared" si="2"/>
        <v>0.41266666666666668</v>
      </c>
    </row>
    <row r="13" spans="1:9" x14ac:dyDescent="0.2">
      <c r="A13">
        <v>76</v>
      </c>
      <c r="B13">
        <v>1900</v>
      </c>
      <c r="C13" s="1">
        <v>55.85</v>
      </c>
      <c r="D13" s="1">
        <v>31.57</v>
      </c>
      <c r="E13" s="1">
        <v>13.21</v>
      </c>
      <c r="F13" s="1">
        <v>17</v>
      </c>
      <c r="G13">
        <f t="shared" si="0"/>
        <v>3.2852941176470587</v>
      </c>
      <c r="H13">
        <f t="shared" si="1"/>
        <v>1.8570588235294119</v>
      </c>
      <c r="I13">
        <f t="shared" si="2"/>
        <v>0.7770588235294118</v>
      </c>
    </row>
    <row r="14" spans="1:9" x14ac:dyDescent="0.2">
      <c r="A14">
        <v>100</v>
      </c>
      <c r="B14">
        <v>2500</v>
      </c>
      <c r="C14" s="1">
        <v>88.19</v>
      </c>
      <c r="D14" s="1">
        <v>56.58</v>
      </c>
      <c r="E14" s="1">
        <v>16.13</v>
      </c>
      <c r="F14" s="1">
        <v>15</v>
      </c>
      <c r="G14">
        <f t="shared" si="0"/>
        <v>5.8793333333333333</v>
      </c>
      <c r="H14">
        <f t="shared" si="1"/>
        <v>3.7719999999999998</v>
      </c>
      <c r="I14">
        <f t="shared" si="2"/>
        <v>1.0753333333333333</v>
      </c>
    </row>
    <row r="15" spans="1:9" x14ac:dyDescent="0.2">
      <c r="A15">
        <v>139</v>
      </c>
      <c r="B15">
        <v>3475</v>
      </c>
      <c r="C15" s="1">
        <v>170.4</v>
      </c>
      <c r="D15" s="1">
        <v>114.1</v>
      </c>
      <c r="E15" s="1">
        <v>26.23</v>
      </c>
      <c r="F15" s="1">
        <v>16</v>
      </c>
      <c r="G15">
        <f t="shared" si="0"/>
        <v>10.65</v>
      </c>
      <c r="H15">
        <f t="shared" si="1"/>
        <v>7.1312499999999996</v>
      </c>
      <c r="I15">
        <f t="shared" si="2"/>
        <v>1.639375</v>
      </c>
    </row>
    <row r="19" spans="1:10" x14ac:dyDescent="0.2">
      <c r="A19" s="2" t="s">
        <v>3</v>
      </c>
      <c r="B19" s="2" t="s">
        <v>8</v>
      </c>
      <c r="C19" s="2" t="s">
        <v>9</v>
      </c>
      <c r="D19" s="2" t="s">
        <v>10</v>
      </c>
      <c r="G19" s="2" t="s">
        <v>4</v>
      </c>
      <c r="H19" s="2" t="s">
        <v>8</v>
      </c>
      <c r="I19" s="2" t="s">
        <v>9</v>
      </c>
      <c r="J19" s="2" t="s">
        <v>10</v>
      </c>
    </row>
    <row r="20" spans="1:10" x14ac:dyDescent="0.2">
      <c r="A20">
        <v>1</v>
      </c>
      <c r="G20">
        <v>25</v>
      </c>
    </row>
    <row r="21" spans="1:10" x14ac:dyDescent="0.2">
      <c r="A21">
        <v>5</v>
      </c>
      <c r="B21" s="3">
        <v>0.11599999999999999</v>
      </c>
      <c r="C21" s="3">
        <v>2.6000000000000002E-2</v>
      </c>
      <c r="D21" s="3">
        <v>5.2000000000000005E-2</v>
      </c>
      <c r="G21">
        <v>125</v>
      </c>
      <c r="H21" s="3">
        <v>0.11599999999999999</v>
      </c>
      <c r="I21" s="3">
        <v>2.6000000000000002E-2</v>
      </c>
      <c r="J21" s="3">
        <v>5.2000000000000005E-2</v>
      </c>
    </row>
    <row r="22" spans="1:10" x14ac:dyDescent="0.2">
      <c r="A22">
        <v>10</v>
      </c>
      <c r="B22" s="3">
        <v>0.20153846153846156</v>
      </c>
      <c r="C22" s="3">
        <v>5.0769230769230775E-2</v>
      </c>
      <c r="D22" s="3">
        <v>8.8461538461538453E-2</v>
      </c>
      <c r="G22">
        <v>250</v>
      </c>
      <c r="H22" s="3">
        <v>0.20153846153846156</v>
      </c>
      <c r="I22" s="3">
        <v>5.0769230769230775E-2</v>
      </c>
      <c r="J22" s="3">
        <v>8.8461538461538453E-2</v>
      </c>
    </row>
    <row r="23" spans="1:10" x14ac:dyDescent="0.2">
      <c r="A23">
        <v>20</v>
      </c>
      <c r="B23" s="3">
        <v>0.46076923076923076</v>
      </c>
      <c r="C23" s="3">
        <v>0.15769230769230769</v>
      </c>
      <c r="D23" s="3">
        <v>0.16692307692307692</v>
      </c>
      <c r="G23">
        <v>500</v>
      </c>
      <c r="H23" s="3">
        <v>0.46076923076923076</v>
      </c>
      <c r="I23" s="3">
        <v>0.15769230769230769</v>
      </c>
      <c r="J23" s="3">
        <v>0.16692307692307692</v>
      </c>
    </row>
    <row r="24" spans="1:10" x14ac:dyDescent="0.2">
      <c r="A24">
        <v>32</v>
      </c>
      <c r="B24" s="3">
        <v>0.81133333333333335</v>
      </c>
      <c r="C24" s="3">
        <v>0.34199999999999997</v>
      </c>
      <c r="D24" s="3">
        <v>0.26266666666666666</v>
      </c>
      <c r="G24">
        <v>800</v>
      </c>
      <c r="H24" s="3">
        <v>0.81133333333333335</v>
      </c>
      <c r="I24" s="3">
        <v>0.34199999999999997</v>
      </c>
      <c r="J24" s="3">
        <v>0.26266666666666666</v>
      </c>
    </row>
    <row r="25" spans="1:10" x14ac:dyDescent="0.2">
      <c r="A25">
        <v>47</v>
      </c>
      <c r="B25" s="3">
        <v>1.526</v>
      </c>
      <c r="C25" s="3">
        <v>0.77066666666666672</v>
      </c>
      <c r="D25" s="3">
        <v>0.41266666666666668</v>
      </c>
      <c r="G25">
        <v>1175</v>
      </c>
      <c r="H25" s="3">
        <v>1.526</v>
      </c>
      <c r="I25" s="3">
        <v>0.77066666666666672</v>
      </c>
      <c r="J25" s="3">
        <v>0.41266666666666668</v>
      </c>
    </row>
    <row r="26" spans="1:10" x14ac:dyDescent="0.2">
      <c r="A26">
        <v>76</v>
      </c>
      <c r="B26" s="3">
        <v>3.2852941176470587</v>
      </c>
      <c r="C26" s="3">
        <v>1.8570588235294119</v>
      </c>
      <c r="D26" s="3">
        <v>0.7770588235294118</v>
      </c>
      <c r="G26">
        <v>1900</v>
      </c>
      <c r="H26" s="3">
        <v>3.2852941176470587</v>
      </c>
      <c r="I26" s="3">
        <v>1.8570588235294119</v>
      </c>
      <c r="J26" s="3">
        <v>0.7770588235294118</v>
      </c>
    </row>
    <row r="27" spans="1:10" x14ac:dyDescent="0.2">
      <c r="A27">
        <v>100</v>
      </c>
      <c r="B27" s="3">
        <v>5.8793333333333333</v>
      </c>
      <c r="C27" s="3">
        <v>3.7719999999999998</v>
      </c>
      <c r="D27" s="3">
        <v>1.0753333333333333</v>
      </c>
      <c r="G27">
        <v>2500</v>
      </c>
      <c r="H27" s="3">
        <v>5.8793333333333333</v>
      </c>
      <c r="I27" s="3">
        <v>3.7719999999999998</v>
      </c>
      <c r="J27" s="3">
        <v>1.0753333333333333</v>
      </c>
    </row>
    <row r="28" spans="1:10" x14ac:dyDescent="0.2">
      <c r="A28">
        <v>139</v>
      </c>
      <c r="B28" s="3">
        <v>10.65</v>
      </c>
      <c r="C28" s="3">
        <v>7.1312499999999996</v>
      </c>
      <c r="D28" s="3">
        <v>1.639375</v>
      </c>
      <c r="G28">
        <v>3475</v>
      </c>
      <c r="H28" s="3">
        <v>10.65</v>
      </c>
      <c r="I28" s="3">
        <v>7.1312499999999996</v>
      </c>
      <c r="J28" s="3">
        <v>1.639375</v>
      </c>
    </row>
    <row r="29" spans="1:10" x14ac:dyDescent="0.2">
      <c r="B29" s="3"/>
      <c r="C29" s="3"/>
      <c r="D29" s="3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def2-SVP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2026-01-30T13:58:00Z</dcterms:modified>
</cp:coreProperties>
</file>