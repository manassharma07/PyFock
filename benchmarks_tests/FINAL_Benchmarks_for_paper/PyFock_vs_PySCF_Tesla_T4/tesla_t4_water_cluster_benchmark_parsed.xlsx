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08581141a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bc0962beaba4beb"/>
    <x:sheet xmlns:r="http://schemas.openxmlformats.org/officeDocument/2006/relationships" name="Raw Data" sheetId="2" r:id="Rc8a11c79f4b545d4"/>
    <x:sheet xmlns:r="http://schemas.openxmlformats.org/officeDocument/2006/relationships" name="Summary" sheetId="3" r:id="R5c6a7c74bdc74ef4"/>
    <x:sheet xmlns:r="http://schemas.openxmlformats.org/officeDocument/2006/relationships" name="Software Versions" sheetId="4" r:id="R5e2978125194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0"/>
    <x:numFmt numFmtId="203" formatCode="0.000000000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i/>
      <x:sz val="11"/>
      <x:color rgb="FF1F29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F5F5A"/>
      </x:patternFill>
    </x:fill>
    <x:fill>
      <x:patternFill patternType="solid">
        <x:fgColor rgb="FF0F766E"/>
      </x:patternFill>
    </x:fill>
    <x:fill>
      <x:patternFill patternType="solid">
        <x:fgColor rgb="FFDDF4F0"/>
      </x:patternFill>
    </x:fill>
    <x:fill>
      <x:patternFill patternType="solid">
        <x:fgColor rgb="FFF3F4F6"/>
      </x:patternFill>
    </x:fill>
    <x:fill>
      <x:patternFill patternType="solid">
        <x:fgColor rgb="FFEAF2F8"/>
      </x:patternFill>
    </x:fill>
    <x:fill>
      <x:patternFill patternType="solid">
        <x:fgColor rgb="FFFFF1D6"/>
      </x:patternFill>
    </x:fill>
    <x:fill>
      <x:patternFill patternType="solid">
        <x:fgColor rgb="FFDDF4F0"/>
      </x:patternFill>
    </x:fill>
    <x:fill>
      <x:patternFill patternType="solid">
        <x:fgColor rgb="FF0F5F5A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7F1F8"/>
      </x:patternFill>
    </x:fill>
    <x:fill>
      <x:patternFill patternType="solid">
        <x:fgColor rgb="FFEDF6FA"/>
      </x:patternFill>
    </x:fill>
  </x:fills>
  <x:borders count="1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right style="thin">
        <x:color rgb="FFE5E7EB"/>
      </x:right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bottom style="thin">
        <x:color rgb="FFD1D5DB"/>
      </x:bottom>
    </x:border>
    <x:border>
      <x:left style="thin">
        <x:color rgb="FFE5E7EB"/>
      </x:left>
      <x:bottom style="thin">
        <x:color rgb="FFD1D5DB"/>
      </x:bottom>
    </x:border>
    <x:border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3" fillId="4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0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8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2" fontId="4" fillId="6" borderId="8" xfId="0" applyNumberFormat="1" applyFont="1" applyFill="1" applyBorder="1" applyAlignment="1">
      <x:alignment vertical="center"/>
    </x:xf>
    <x:xf numFmtId="200" fontId="4" fillId="6" borderId="8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2" fontId="4" fillId="4" borderId="8" xfId="0" applyNumberFormat="1" applyFont="1" applyFill="1" applyBorder="1" applyAlignment="1">
      <x:alignment vertical="center"/>
    </x:xf>
    <x:xf numFmtId="203" fontId="4" fillId="4" borderId="8" xfId="0" applyNumberFormat="1" applyFont="1" applyFill="1" applyBorder="1" applyAlignment="1">
      <x:alignment vertical="center"/>
    </x:xf>
    <x:xf numFmtId="0" fontId="4" fillId="7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6" borderId="8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201" fontId="0" fillId="5" borderId="8" xfId="0" applyNumberFormat="1" applyFont="1" applyFill="1" applyBorder="1"/>
    <x:xf numFmtId="202" fontId="0" fillId="6" borderId="8" xfId="0" applyNumberFormat="1" applyFont="1" applyFill="1" applyBorder="1"/>
    <x:xf numFmtId="200" fontId="0" fillId="6" borderId="8" xfId="0" applyNumberFormat="1" applyFont="1" applyFill="1" applyBorder="1"/>
    <x:xf numFmtId="202" fontId="0" fillId="4" borderId="8" xfId="0" applyNumberFormat="1" applyFont="1" applyFill="1" applyBorder="1"/>
    <x:xf numFmtId="200" fontId="0" fillId="4" borderId="8" xfId="0" applyNumberFormat="1" applyFont="1" applyFill="1" applyBorder="1"/>
    <x:xf numFmtId="202" fontId="0" fillId="4" borderId="9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4" fillId="8" borderId="2" xfId="0" applyNumberFormat="1" applyFont="1" applyFill="1" applyBorder="1"/>
    <x:xf numFmtId="0" fontId="3" fillId="8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0" xfId="0" applyNumberFormat="1" applyFont="1" applyFill="1" applyBorder="1"/>
    <x:xf numFmtId="0" fontId="2" fillId="10" borderId="10" xfId="0" applyNumberFormat="1" applyFont="1" applyFill="1" applyBorder="1" applyAlignment="1">
      <x:alignment wrapText="1"/>
    </x:xf>
    <x:xf numFmtId="0" fontId="2" fillId="10" borderId="10" xfId="0" applyNumberFormat="1" applyFont="1" applyFill="1" applyBorder="1" applyAlignment="1">
      <x:alignment horizontal="center" wrapText="1"/>
    </x:xf>
    <x:xf numFmtId="0" fontId="2" fillId="1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11" borderId="11" xfId="0" applyNumberFormat="1" applyFont="1" applyFill="1" applyBorder="1" applyAlignment="1">
      <x:alignment vertical="center"/>
    </x:xf>
    <x:xf numFmtId="0" fontId="4" fillId="11" borderId="11" xfId="0" applyNumberFormat="1" applyFont="1" applyFill="1" applyBorder="1" applyAlignment="1">
      <x:alignment horizontal="center" vertical="center"/>
    </x:xf>
    <x:xf numFmtId="0" fontId="4" fillId="11" borderId="11" xfId="0" applyNumberFormat="1" applyFont="1" applyFill="1" applyBorder="1" applyAlignment="1">
      <x:alignment vertical="center" wrapText="1"/>
    </x:xf>
    <x:xf numFmtId="0" fontId="3" fillId="11" borderId="11" xfId="0" applyNumberFormat="1" applyFont="1" applyFill="1" applyBorder="1" applyAlignment="1">
      <x:alignment vertical="center"/>
    </x:xf>
    <x:xf numFmtId="0" fontId="4" fillId="11" borderId="12" xfId="0" applyNumberFormat="1" applyFont="1" applyFill="1" applyBorder="1" applyAlignment="1">
      <x:alignment vertical="center"/>
    </x:xf>
    <x:xf numFmtId="0" fontId="4" fillId="11" borderId="12" xfId="0" applyNumberFormat="1" applyFont="1" applyFill="1" applyBorder="1" applyAlignment="1">
      <x:alignment horizontal="center" vertical="center"/>
    </x:xf>
    <x:xf numFmtId="0" fontId="4" fillId="11" borderId="12" xfId="0" applyNumberFormat="1" applyFont="1" applyFill="1" applyBorder="1" applyAlignment="1">
      <x:alignment vertical="center" wrapText="1"/>
    </x:xf>
    <x:xf numFmtId="0" fontId="3" fillId="11" borderId="12" xfId="0" applyNumberFormat="1" applyFont="1" applyFill="1" applyBorder="1" applyAlignment="1">
      <x:alignment vertical="center"/>
    </x:xf>
    <x:xf numFmtId="0" fontId="4" fillId="8" borderId="12" xfId="0" applyNumberFormat="1" applyFont="1" applyFill="1" applyBorder="1" applyAlignment="1">
      <x:alignment vertical="center"/>
    </x:xf>
    <x:xf numFmtId="0" fontId="4" fillId="8" borderId="12" xfId="0" applyNumberFormat="1" applyFont="1" applyFill="1" applyBorder="1" applyAlignment="1">
      <x:alignment horizontal="center" vertical="center"/>
    </x:xf>
    <x:xf numFmtId="0" fontId="4" fillId="8" borderId="12" xfId="0" applyNumberFormat="1" applyFont="1" applyFill="1" applyBorder="1" applyAlignment="1">
      <x:alignment vertical="center" wrapText="1"/>
    </x:xf>
    <x:xf numFmtId="0" fontId="3" fillId="8" borderId="12" xfId="0" applyNumberFormat="1" applyFont="1" applyFill="1" applyBorder="1" applyAlignment="1">
      <x:alignment vertical="center"/>
    </x:xf>
    <x:xf numFmtId="0" fontId="4" fillId="12" borderId="12" xfId="0" applyNumberFormat="1" applyFont="1" applyFill="1" applyBorder="1" applyAlignment="1">
      <x:alignment vertical="center"/>
    </x:xf>
    <x:xf numFmtId="0" fontId="4" fillId="12" borderId="12" xfId="0" applyNumberFormat="1" applyFont="1" applyFill="1" applyBorder="1" applyAlignment="1">
      <x:alignment horizontal="center" vertical="center"/>
    </x:xf>
    <x:xf numFmtId="0" fontId="4" fillId="12" borderId="12" xfId="0" applyNumberFormat="1" applyFont="1" applyFill="1" applyBorder="1" applyAlignment="1">
      <x:alignment vertical="center" wrapText="1"/>
    </x:xf>
    <x:xf numFmtId="0" fontId="3" fillId="12" borderId="12" xfId="0" applyNumberFormat="1" applyFont="1" applyFill="1" applyBorder="1" applyAlignment="1">
      <x:alignment vertical="center"/>
    </x:xf>
    <x:xf numFmtId="0" fontId="4" fillId="13" borderId="12" xfId="0" applyNumberFormat="1" applyFont="1" applyFill="1" applyBorder="1" applyAlignment="1">
      <x:alignment vertical="center"/>
    </x:xf>
    <x:xf numFmtId="0" fontId="4" fillId="13" borderId="12" xfId="0" applyNumberFormat="1" applyFont="1" applyFill="1" applyBorder="1" applyAlignment="1">
      <x:alignment horizontal="center" vertical="center"/>
    </x:xf>
    <x:xf numFmtId="0" fontId="4" fillId="13" borderId="12" xfId="0" applyNumberFormat="1" applyFont="1" applyFill="1" applyBorder="1" applyAlignment="1">
      <x:alignment vertical="center" wrapText="1"/>
    </x:xf>
    <x:xf numFmtId="0" fontId="3" fillId="13" borderId="12" xfId="0" applyNumberFormat="1" applyFont="1" applyFill="1" applyBorder="1" applyAlignment="1">
      <x:alignment vertical="center"/>
    </x:xf>
    <x:xf numFmtId="0" fontId="4" fillId="11" borderId="13" xfId="0" applyNumberFormat="1" applyFont="1" applyFill="1" applyBorder="1" applyAlignment="1">
      <x:alignment vertical="center"/>
    </x:xf>
    <x:xf numFmtId="0" fontId="4" fillId="11" borderId="13" xfId="0" applyNumberFormat="1" applyFont="1" applyFill="1" applyBorder="1" applyAlignment="1">
      <x:alignment horizontal="center" vertical="center"/>
    </x:xf>
    <x:xf numFmtId="0" fontId="4" fillId="11" borderId="13" xfId="0" applyNumberFormat="1" applyFont="1" applyFill="1" applyBorder="1" applyAlignment="1">
      <x:alignment vertical="center" wrapText="1"/>
    </x:xf>
    <x:xf numFmtId="0" fontId="3" fillId="11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7aee6d18c4029" /><Relationship Type="http://schemas.openxmlformats.org/officeDocument/2006/relationships/theme" Target="/xl/theme/theme1.xml" Id="R59c1be5c6a5b4499" /><Relationship Type="http://schemas.microsoft.com/office/2022/11/relationships/FeaturePropertyBag" Target="/xl/featurePropertyBag/featurePropertyBag.xml" Id="R519ea78918cf4683" /><Relationship Type="http://schemas.openxmlformats.org/officeDocument/2006/relationships/sharedStrings" Target="/xl/sharedStrings.xml" Id="R4d7cdc71579f4acc" /><Relationship Type="http://schemas.openxmlformats.org/officeDocument/2006/relationships/worksheet" Target="/xl/worksheets/sheet1.xml" Id="R7bc0962beaba4beb" /><Relationship Type="http://schemas.openxmlformats.org/officeDocument/2006/relationships/worksheet" Target="/xl/worksheets/sheet2.xml" Id="Rc8a11c79f4b545d4" /><Relationship Type="http://schemas.openxmlformats.org/officeDocument/2006/relationships/worksheet" Target="/xl/worksheets/sheet3.xml" Id="R5c6a7c74bdc74ef4" /><Relationship Type="http://schemas.openxmlformats.org/officeDocument/2006/relationships/worksheet" Target="/xl/worksheets/sheet4.xml" Id="R5e297812519447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BenchmarkData" displayName="RawBenchmarkData" ref="A1:AA11" headerRowCount="1" totalsRowCount="0" totalsRowShown="0">
  <x:tableColumns count="27">
    <x:tableColumn id="1" name="Run"/>
    <x:tableColumn id="2" name="Water molecules"/>
    <x:tableColumn id="3" name="Cluster"/>
    <x:tableColumn id="4" name="Atoms"/>
    <x:tableColumn id="5" name="Basis functions"/>
    <x:tableColumn id="6" name="Auxiliary basis functions"/>
    <x:tableColumn id="7" name="GPU4PySCF grid points"/>
    <x:tableColumn id="8" name="Shared PySCF grid points"/>
    <x:tableColumn id="9" name="GPU4PySCF total wall time (s)"/>
    <x:tableColumn id="10" name="Grid setup CPU time (s)"/>
    <x:tableColumn id="11" name="Grid setup CPU wall time (s)"/>
    <x:tableColumn id="12" name="Grid setup GPU elapsed time (s)"/>
    <x:tableColumn id="13" name="GPU4PySCF wall time excl. grid (s)"/>
    <x:tableColumn id="14" name="GPU4PySCF SCF iterations"/>
    <x:tableColumn id="15" name="GPU4PySCF total wall time / iteration (s)"/>
    <x:tableColumn id="16" name="GPU4PySCF wall time excl. grid / iteration (s)"/>
    <x:tableColumn id="17" name="GPU4PySCF converged"/>
    <x:tableColumn id="18" name="GPU4PySCF final energy (Eh)"/>
    <x:tableColumn id="19" name="PyFock total wall time (s)"/>
    <x:tableColumn id="20" name="PyFock SCF iterations"/>
    <x:tableColumn id="21" name="PyFock wall time / iteration (s)"/>
    <x:tableColumn id="22" name="PyFock converged"/>
    <x:tableColumn id="23" name="PyFock final energy (Eh)"/>
    <x:tableColumn id="24" name="Energy difference, PyFock - GPU4PySCF (Eh)"/>
    <x:tableColumn id="25" name="PySCF one-cycle preparation wall time (s)"/>
    <x:tableColumn id="26" name="Flag"/>
    <x:tableColumn id="27" name="Source noteboo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chmarkSummary" displayName="BenchmarkSummary" ref="A4:M9" headerRowCount="1" totalsRowCount="0" totalsRowShown="0">
  <x:tableColumns count="13">
    <x:tableColumn id="1" name="Cluster"/>
    <x:tableColumn id="2" name="Water molecules"/>
    <x:tableColumn id="3" name="Atoms"/>
    <x:tableColumn id="4" name="Basis functions"/>
    <x:tableColumn id="5" name="GPU4PySCF total wall time (s)"/>
    <x:tableColumn id="6" name="Grid setup GPU elapsed time (s)"/>
    <x:tableColumn id="7" name="GPU4PySCF wall time excl. grid (s)"/>
    <x:tableColumn id="8" name="GPU4PySCF SCF iterations"/>
    <x:tableColumn id="9" name="GPU4PySCF wall time excl. grid / iteration (s)"/>
    <x:tableColumn id="10" name="PyFock total wall time (s)"/>
    <x:tableColumn id="11" name="PyFock SCF iterations"/>
    <x:tableColumn id="12" name="PyFock wall time / iteration (s)"/>
    <x:tableColumn id="13" name="PyFock / GPU4PySCF adjusted-time rat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ftwareVersionsTable" displayName="SoftwareVersionsTable" ref="A4:F32" headerRowCount="1" totalsRowCount="0" totalsRowShown="0">
  <x:autoFilter ref="A4:F32"/>
  <x:tableColumns count="6">
    <x:tableColumn id="1" name="Category"/>
    <x:tableColumn id="2" name="Library or runtime"/>
    <x:tableColumn id="3" name="Run 1"/>
    <x:tableColumn id="4" name="Run 2"/>
    <x:tableColumn id="5" name="Recorded from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35bbf2c737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c2b6cec12142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4d33d7561042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34" customHeight="1">
      <x:c r="A1" s="3" t="str">
        <x:v>Tesla T4 Water-Cluster Benchmark</x:v>
      </x:c>
      <x:c r="B1" s="3"/>
    </x:row>
    <x:row r="3">
      <x:c r="A3" s="12" t="str">
        <x:v>Field</x:v>
      </x:c>
      <x:c r="B3" s="12" t="str">
        <x:v>Details</x:v>
      </x:c>
    </x:row>
    <x:row r="4" ht="15" hidden="0" customHeight="1">
      <x:c r="A4" s="13" t="str">
        <x:v>Purpose</x:v>
      </x:c>
      <x:c r="B4" s="14" t="str">
        <x:v>Parsed timing and convergence data from two Kaggle Tesla T4 benchmark notebooks.</x:v>
      </x:c>
    </x:row>
    <x:row r="5" ht="15" hidden="0" customHeight="1">
      <x:c r="A5" s="13" t="str">
        <x:v>Electronic structure method</x:v>
      </x:c>
      <x:c r="B5" s="14" t="str">
        <x:v>PBE/def2-SVP with def2-universal-JFIT density fitting.</x:v>
      </x:c>
    </x:row>
    <x:row r="6" ht="15" hidden="0" customHeight="1">
      <x:c r="A6" s="13" t="str">
        <x:v>Numerical settings</x:v>
      </x:c>
      <x:c r="B6" s="14" t="str">
        <x:v>PySCF level-3 grids; SCF energy threshold 1e-7 Eh; two CPU cores and one Tesla T4 GPU.</x:v>
      </x:c>
    </x:row>
    <x:row r="7" ht="15" hidden="0" customHeight="1">
      <x:c r="A7" s="13" t="str">
        <x:v>GPU4PySCF total wall time</x:v>
      </x:c>
      <x:c r="B7" s="14" t="str">
        <x:v>Notebook timer around the complete GPU4PySCF SCF kernel. Initial-density generation occurs before this timer.</x:v>
      </x:c>
    </x:row>
    <x:row r="8" ht="15" hidden="0" customHeight="1">
      <x:c r="A8" s="13" t="str">
        <x:v>Grid setup CPU wall time</x:v>
      </x:c>
      <x:c r="B8" s="14" t="str">
        <x:v>CPU-side wall time printed on GPU4PySCF's 'setting up grids' line. For larger systems this mainly measures asynchronous kernel launch.</x:v>
      </x:c>
    </x:row>
    <x:row r="9" ht="26.399999618530273" hidden="0" customHeight="1">
      <x:c r="A9" s="13" t="str">
        <x:v>Grid setup GPU elapsed time</x:v>
      </x:c>
      <x:c r="B9" s="14" t="str">
        <x:v>CUDA-event duration printed by GPU4PySCF, converted from milliseconds to seconds. This is subtracted from the total for the adjusted comparison.</x:v>
      </x:c>
    </x:row>
    <x:row r="10" ht="15" hidden="0" customHeight="1">
      <x:c r="A10" s="13" t="str">
        <x:v>GPU4PySCF adjusted wall time</x:v>
      </x:c>
      <x:c r="B10" s="14" t="str">
        <x:v>Formula: total wall time minus grid setup GPU elapsed time.</x:v>
      </x:c>
    </x:row>
    <x:row r="11" ht="26.399999618530273" hidden="0" customHeight="1">
      <x:c r="A11" s="13" t="str">
        <x:v>Wall time per SCF iteration</x:v>
      </x:c>
      <x:c r="B11" s="14" t="str">
        <x:v>GPU4PySCF values are shown both before and after excluding grid setup. PyFock uses its reported end-to-end wall time divided by its SCF iteration count.</x:v>
      </x:c>
    </x:row>
    <x:row r="12" ht="15" hidden="0" customHeight="1">
      <x:c r="A12" s="13" t="str">
        <x:v>PyFock mode</x:v>
      </x:c>
      <x:c r="B12" s="14" t="str">
        <x:v>GPU execution with SAO basis representation, block size 20,480, and dynamic precision enabled.</x:v>
      </x:c>
    </x:row>
    <x:row r="13" ht="26.399999618530273" hidden="0" customHeight="1">
      <x:c r="A13" s="13" t="str">
        <x:v>PySCF preparation time</x:v>
      </x:c>
      <x:c r="B13" s="14" t="str">
        <x:v>The PyFock cell first runs CPU PySCF for one SCF cycle (max_cycle=1) to generate the grid and initial density. This preparation time is retained in Raw Data but is not treated as a complete PySCF benchmark.</x:v>
      </x:c>
    </x:row>
    <x:row r="14" ht="15" hidden="0" customHeight="1">
      <x:c r="A14" s="13" t="str">
        <x:v>Cold-start warning</x:v>
      </x:c>
      <x:c r="B14" s="14" t="str">
        <x:v>The (H2O)5 results include first-use GPU and JIT compilation overhead. Later clusters are warm-run measurements.</x:v>
      </x:c>
    </x:row>
    <x:row r="15" ht="26.399999618530273" hidden="0" customHeight="1">
      <x:c r="A15" s="13" t="str">
        <x:v>Source notebook 1</x:v>
      </x:c>
      <x:c r="B15" s="14" t="str">
        <x:v>/Users/manas/Documents/PyFock/benchmarks_tests/FINAL_Benchmarks_for_paper/PyFock_vs_PySCF_Tesla_T4/run1_pyscf-vs-pyfock-gpu-benchmark.ipynb</x:v>
      </x:c>
    </x:row>
    <x:row r="16" ht="26.399999618530273" hidden="0" customHeight="1">
      <x:c r="A16" s="15" t="str">
        <x:v>Source notebook 2</x:v>
      </x:c>
      <x:c r="B16" s="16" t="str">
        <x:v>/Users/manas/Documents/PyFock/benchmarks_tests/FINAL_Benchmarks_for_paper/PyFock_vs_PySCF_Tesla_T4/run2_pyscf-vs-pyfock-gpu-benchmark.ipynb</x:v>
      </x:c>
    </x:row>
    <x:row r="17">
      <x:c r="A17" s="79" t="str">
        <x:v>Software versions</x:v>
      </x:c>
      <x:c r="B17" s="80" t="str">
        <x:v>See the Software Versions sheet for run-specific package and runtime versions parsed from both notebooks.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9" hidden="0" customWidth="1"/>
    <x:col min="5" max="5" width="13" hidden="0" customWidth="1"/>
    <x:col min="6" max="6" width="16" hidden="0" customWidth="1"/>
    <x:col min="7" max="7" width="15" hidden="0" customWidth="1"/>
    <x:col min="8" max="8" width="15" hidden="0" customWidth="1"/>
    <x:col min="9" max="9" width="18" hidden="0" customWidth="1"/>
    <x:col min="10" max="10" width="16" hidden="0" customWidth="1"/>
    <x:col min="11" max="11" width="18" hidden="0" customWidth="1"/>
    <x:col min="12" max="12" width="19" hidden="0" customWidth="1"/>
    <x:col min="13" max="13" width="20" hidden="0" customWidth="1"/>
    <x:col min="14" max="14" width="14" hidden="0" customWidth="1"/>
    <x:col min="15" max="15" width="21" hidden="0" customWidth="1"/>
    <x:col min="16" max="16" width="23" hidden="0" customWidth="1"/>
    <x:col min="17" max="17" width="14" hidden="0" customWidth="1"/>
    <x:col min="18" max="18" width="20" hidden="0" customWidth="1"/>
    <x:col min="19" max="19" width="18" hidden="0" customWidth="1"/>
    <x:col min="20" max="20" width="14" hidden="0" customWidth="1"/>
    <x:col min="21" max="21" width="19" hidden="0" customWidth="1"/>
    <x:col min="22" max="22" width="13" hidden="0" customWidth="1"/>
    <x:col min="23" max="23" width="19" hidden="0" customWidth="1"/>
    <x:col min="24" max="24" width="23" hidden="0" customWidth="1"/>
    <x:col min="25" max="25" width="22" hidden="0" customWidth="1"/>
    <x:col min="26" max="26" width="26" hidden="0" customWidth="1"/>
    <x:col min="27" max="27" width="45" hidden="0" customWidth="1"/>
  </x:cols>
  <x:sheetData>
    <x:row r="1" ht="62" customHeight="1">
      <x:c r="A1" s="30" t="str">
        <x:v>Run</x:v>
      </x:c>
      <x:c r="B1" s="31" t="str">
        <x:v>Water molecules</x:v>
      </x:c>
      <x:c r="C1" s="31" t="str">
        <x:v>Cluster</x:v>
      </x:c>
      <x:c r="D1" s="31" t="str">
        <x:v>Atoms</x:v>
      </x:c>
      <x:c r="E1" s="31" t="str">
        <x:v>Basis functions</x:v>
      </x:c>
      <x:c r="F1" s="31" t="str">
        <x:v>Auxiliary basis functions</x:v>
      </x:c>
      <x:c r="G1" s="31" t="str">
        <x:v>GPU4PySCF grid points</x:v>
      </x:c>
      <x:c r="H1" s="31" t="str">
        <x:v>Shared PySCF grid points</x:v>
      </x:c>
      <x:c r="I1" s="31" t="str">
        <x:v>GPU4PySCF total wall time (s)</x:v>
      </x:c>
      <x:c r="J1" s="31" t="str">
        <x:v>Grid setup CPU time (s)</x:v>
      </x:c>
      <x:c r="K1" s="31" t="str">
        <x:v>Grid setup CPU wall time (s)</x:v>
      </x:c>
      <x:c r="L1" s="31" t="str">
        <x:v>Grid setup GPU elapsed time (s)</x:v>
      </x:c>
      <x:c r="M1" s="31" t="str">
        <x:v>GPU4PySCF wall time excl. grid (s)</x:v>
      </x:c>
      <x:c r="N1" s="31" t="str">
        <x:v>GPU4PySCF SCF iterations</x:v>
      </x:c>
      <x:c r="O1" s="31" t="str">
        <x:v>GPU4PySCF total wall time / iteration (s)</x:v>
      </x:c>
      <x:c r="P1" s="31" t="str">
        <x:v>GPU4PySCF wall time excl. grid / iteration (s)</x:v>
      </x:c>
      <x:c r="Q1" s="31" t="str">
        <x:v>GPU4PySCF converged</x:v>
      </x:c>
      <x:c r="R1" s="31" t="str">
        <x:v>GPU4PySCF final energy (Eh)</x:v>
      </x:c>
      <x:c r="S1" s="31" t="str">
        <x:v>PyFock total wall time (s)</x:v>
      </x:c>
      <x:c r="T1" s="31" t="str">
        <x:v>PyFock SCF iterations</x:v>
      </x:c>
      <x:c r="U1" s="31" t="str">
        <x:v>PyFock wall time / iteration (s)</x:v>
      </x:c>
      <x:c r="V1" s="31" t="str">
        <x:v>PyFock converged</x:v>
      </x:c>
      <x:c r="W1" s="31" t="str">
        <x:v>PyFock final energy (Eh)</x:v>
      </x:c>
      <x:c r="X1" s="31" t="str">
        <x:v>Energy difference, PyFock - GPU4PySCF (Eh)</x:v>
      </x:c>
      <x:c r="Y1" s="31" t="str">
        <x:v>PySCF one-cycle preparation wall time (s)</x:v>
      </x:c>
      <x:c r="Z1" s="31" t="str">
        <x:v>Flag</x:v>
      </x:c>
      <x:c r="AA1" s="32" t="str">
        <x:v>Source notebook</x:v>
      </x:c>
    </x:row>
    <x:row r="2" ht="28" customHeight="1">
      <x:c r="A2" s="42" t="n">
        <x:v>1</x:v>
      </x:c>
      <x:c r="B2" s="43" t="n">
        <x:v>5</x:v>
      </x:c>
      <x:c r="C2" s="34" t="str">
        <x:v>(H2O)5</x:v>
      </x:c>
      <x:c r="D2" s="44" t="n">
        <x:v>15</x:v>
      </x:c>
      <x:c r="E2" s="44" t="n">
        <x:v>125</x:v>
      </x:c>
      <x:c r="F2" s="44" t="n">
        <x:v>425</x:v>
      </x:c>
      <x:c r="G2" s="44" t="n">
        <x:v>168704</x:v>
      </x:c>
      <x:c r="H2" s="44" t="n">
        <x:v>168496</x:v>
      </x:c>
      <x:c r="I2" s="45" t="n">
        <x:v>16.25406365599997</x:v>
      </x:c>
      <x:c r="J2" s="45" t="n">
        <x:v>1.54</x:v>
      </x:c>
      <x:c r="K2" s="45" t="n">
        <x:v>1.54</x:v>
      </x:c>
      <x:c r="L2" s="45" t="n">
        <x:v>1.54492</x:v>
      </x:c>
      <x:c r="M2" s="46" t="n">
        <x:f>I2-L2</x:f>
        <x:v>14.709143655999972</x:v>
      </x:c>
      <x:c r="N2" s="47" t="n">
        <x:v>9</x:v>
      </x:c>
      <x:c r="O2" s="46" t="n">
        <x:f>I2/N2</x:f>
        <x:v>1.8060070728888857</x:v>
      </x:c>
      <x:c r="P2" s="46" t="n">
        <x:f>M2/N2</x:f>
        <x:v>1.634349295111108</x:v>
      </x:c>
      <x:c r="Q2" s="37" t="b">
        <x:v>1</x:v>
      </x:c>
      <x:c r="R2" s="48" t="n">
        <x:v>-381.418731017223</x:v>
      </x:c>
      <x:c r="S2" s="45" t="n">
        <x:v>90.14</x:v>
      </x:c>
      <x:c r="T2" s="49" t="n">
        <x:v>11</x:v>
      </x:c>
      <x:c r="U2" s="50" t="n">
        <x:f>S2/T2</x:f>
        <x:v>8.194545454545455</x:v>
      </x:c>
      <x:c r="V2" s="39" t="b">
        <x:v>1</x:v>
      </x:c>
      <x:c r="W2" s="51" t="n">
        <x:v>-381.4189609666264</x:v>
      </x:c>
      <x:c r="X2" s="51" t="n">
        <x:f>W2-R2</x:f>
        <x:v>-0.0002299494033763949</x:v>
      </x:c>
      <x:c r="Y2" s="45" t="n">
        <x:v>2.6357026219999398</x:v>
      </x:c>
      <x:c r="Z2" s="52" t="str">
        <x:v>Cold start / JIT overhead</x:v>
      </x:c>
      <x:c r="AA2" s="53" t="str">
        <x:v>run1_pyscf-vs-pyfock-gpu-benchmark.ipynb</x:v>
      </x:c>
    </x:row>
    <x:row r="3" ht="28" customHeight="1">
      <x:c r="A3" s="42" t="n">
        <x:v>1</x:v>
      </x:c>
      <x:c r="B3" s="43" t="n">
        <x:v>10</x:v>
      </x:c>
      <x:c r="C3" s="34" t="str">
        <x:v>(H2O)10</x:v>
      </x:c>
      <x:c r="D3" s="44" t="n">
        <x:v>30</x:v>
      </x:c>
      <x:c r="E3" s="44" t="n">
        <x:v>250</x:v>
      </x:c>
      <x:c r="F3" s="44" t="n">
        <x:v>850</x:v>
      </x:c>
      <x:c r="G3" s="44" t="n">
        <x:v>337152</x:v>
      </x:c>
      <x:c r="H3" s="44" t="n">
        <x:v>336984</x:v>
      </x:c>
      <x:c r="I3" s="45" t="n">
        <x:v>4.396120967999991</x:v>
      </x:c>
      <x:c r="J3" s="45" t="n">
        <x:v>0.01</x:v>
      </x:c>
      <x:c r="K3" s="45" t="n">
        <x:v>0.01</x:v>
      </x:c>
      <x:c r="L3" s="45" t="n">
        <x:v>0.06053</x:v>
      </x:c>
      <x:c r="M3" s="46" t="n">
        <x:f>I3-L3</x:f>
        <x:v>4.335590967999991</x:v>
      </x:c>
      <x:c r="N3" s="47" t="n">
        <x:v>11</x:v>
      </x:c>
      <x:c r="O3" s="46" t="n">
        <x:f>I3/N3</x:f>
        <x:v>0.3996473607272719</x:v>
      </x:c>
      <x:c r="P3" s="46" t="n">
        <x:f>M3/N3</x:f>
        <x:v>0.39414463345454465</x:v>
      </x:c>
      <x:c r="Q3" s="37" t="b">
        <x:v>1</x:v>
      </x:c>
      <x:c r="R3" s="48" t="n">
        <x:v>-762.843592615885</x:v>
      </x:c>
      <x:c r="S3" s="45" t="n">
        <x:v>11.17</x:v>
      </x:c>
      <x:c r="T3" s="49" t="n">
        <x:v>16</x:v>
      </x:c>
      <x:c r="U3" s="50" t="n">
        <x:f>S3/T3</x:f>
        <x:v>0.698125</x:v>
      </x:c>
      <x:c r="V3" s="39" t="b">
        <x:v>1</x:v>
      </x:c>
      <x:c r="W3" s="51" t="n">
        <x:v>-762.8440526996285</x:v>
      </x:c>
      <x:c r="X3" s="51" t="n">
        <x:f>W3-R3</x:f>
        <x:v>-0.00046008374351913517</x:v>
      </x:c>
      <x:c r="Y3" s="45" t="n">
        <x:v>10.311082951999992</x:v>
      </x:c>
      <x:c r="Z3" s="52" t="str"/>
      <x:c r="AA3" s="53" t="str">
        <x:v>run1_pyscf-vs-pyfock-gpu-benchmark.ipynb</x:v>
      </x:c>
    </x:row>
    <x:row r="4" ht="28" customHeight="1">
      <x:c r="A4" s="42" t="n">
        <x:v>1</x:v>
      </x:c>
      <x:c r="B4" s="43" t="n">
        <x:v>20</x:v>
      </x:c>
      <x:c r="C4" s="34" t="str">
        <x:v>(H2O)20</x:v>
      </x:c>
      <x:c r="D4" s="44" t="n">
        <x:v>60</x:v>
      </x:c>
      <x:c r="E4" s="44" t="n">
        <x:v>500</x:v>
      </x:c>
      <x:c r="F4" s="44" t="n">
        <x:v>1700</x:v>
      </x:c>
      <x:c r="G4" s="44" t="n">
        <x:v>674048</x:v>
      </x:c>
      <x:c r="H4" s="44" t="n">
        <x:v>673960</x:v>
      </x:c>
      <x:c r="I4" s="45" t="n">
        <x:v>19.95910827399996</x:v>
      </x:c>
      <x:c r="J4" s="45" t="n">
        <x:v>0.03</x:v>
      </x:c>
      <x:c r="K4" s="45" t="n">
        <x:v>0.02</x:v>
      </x:c>
      <x:c r="L4" s="45" t="n">
        <x:v>0.43551999999999996</x:v>
      </x:c>
      <x:c r="M4" s="46" t="n">
        <x:f>I4-L4</x:f>
        <x:v>19.52358827399996</x:v>
      </x:c>
      <x:c r="N4" s="47" t="n">
        <x:v>14</x:v>
      </x:c>
      <x:c r="O4" s="46" t="n">
        <x:f>I4/N4</x:f>
        <x:v>1.425650590999997</x:v>
      </x:c>
      <x:c r="P4" s="46" t="n">
        <x:f>M4/N4</x:f>
        <x:v>1.3945420195714255</x:v>
      </x:c>
      <x:c r="Q4" s="37" t="b">
        <x:v>1</x:v>
      </x:c>
      <x:c r="R4" s="48" t="n">
        <x:v>-1525.7561066381</x:v>
      </x:c>
      <x:c r="S4" s="45" t="n">
        <x:v>32.82</x:v>
      </x:c>
      <x:c r="T4" s="49" t="n">
        <x:v>15</x:v>
      </x:c>
      <x:c r="U4" s="50" t="n">
        <x:f>S4/T4</x:f>
        <x:v>2.188</x:v>
      </x:c>
      <x:c r="V4" s="39" t="b">
        <x:v>1</x:v>
      </x:c>
      <x:c r="W4" s="51" t="n">
        <x:v>-1525.7570268392274</x:v>
      </x:c>
      <x:c r="X4" s="51" t="n">
        <x:f>W4-R4</x:f>
        <x:v>-0.0009202011274282995</x:v>
      </x:c>
      <x:c r="Y4" s="45" t="n">
        <x:v>52.128138038999964</x:v>
      </x:c>
      <x:c r="Z4" s="52" t="str"/>
      <x:c r="AA4" s="53" t="str">
        <x:v>run1_pyscf-vs-pyfock-gpu-benchmark.ipynb</x:v>
      </x:c>
    </x:row>
    <x:row r="5" ht="28" customHeight="1">
      <x:c r="A5" s="42" t="n">
        <x:v>1</x:v>
      </x:c>
      <x:c r="B5" s="43" t="n">
        <x:v>32</x:v>
      </x:c>
      <x:c r="C5" s="34" t="str">
        <x:v>(H2O)32</x:v>
      </x:c>
      <x:c r="D5" s="44" t="n">
        <x:v>96</x:v>
      </x:c>
      <x:c r="E5" s="44" t="n">
        <x:v>800</x:v>
      </x:c>
      <x:c r="F5" s="44" t="n">
        <x:v>2720</x:v>
      </x:c>
      <x:c r="G5" s="44" t="n">
        <x:v>1078528</x:v>
      </x:c>
      <x:c r="H5" s="44" t="n">
        <x:v>1078336</x:v>
      </x:c>
      <x:c r="I5" s="45" t="n">
        <x:v>48.944980913999984</x:v>
      </x:c>
      <x:c r="J5" s="45" t="n">
        <x:v>0.02</x:v>
      </x:c>
      <x:c r="K5" s="45" t="n">
        <x:v>0.02</x:v>
      </x:c>
      <x:c r="L5" s="45" t="n">
        <x:v>1.68294</x:v>
      </x:c>
      <x:c r="M5" s="46" t="n">
        <x:f>I5-L5</x:f>
        <x:v>47.26204091399998</x:v>
      </x:c>
      <x:c r="N5" s="47" t="n">
        <x:v>14</x:v>
      </x:c>
      <x:c r="O5" s="46" t="n">
        <x:f>I5/N5</x:f>
        <x:v>3.4960700652857133</x:v>
      </x:c>
      <x:c r="P5" s="46" t="n">
        <x:f>M5/N5</x:f>
        <x:v>3.375860065285713</x:v>
      </x:c>
      <x:c r="Q5" s="37" t="b">
        <x:v>1</x:v>
      </x:c>
      <x:c r="R5" s="48" t="n">
        <x:v>-2441.29564435707</x:v>
      </x:c>
      <x:c r="S5" s="45" t="n">
        <x:v>81.53</x:v>
      </x:c>
      <x:c r="T5" s="49" t="n">
        <x:v>16</x:v>
      </x:c>
      <x:c r="U5" s="50" t="n">
        <x:f>S5/T5</x:f>
        <x:v>5.095625</x:v>
      </x:c>
      <x:c r="V5" s="39" t="b">
        <x:v>1</x:v>
      </x:c>
      <x:c r="W5" s="51" t="n">
        <x:v>-2441.297116957411</x:v>
      </x:c>
      <x:c r="X5" s="51" t="n">
        <x:f>W5-R5</x:f>
        <x:v>-0.0014726003410032718</x:v>
      </x:c>
      <x:c r="Y5" s="45" t="n">
        <x:v>135.88511266600005</x:v>
      </x:c>
      <x:c r="Z5" s="52" t="str"/>
      <x:c r="AA5" s="53" t="str">
        <x:v>run1_pyscf-vs-pyfock-gpu-benchmark.ipynb</x:v>
      </x:c>
    </x:row>
    <x:row r="6" ht="28" customHeight="1">
      <x:c r="A6" s="42" t="n">
        <x:v>1</x:v>
      </x:c>
      <x:c r="B6" s="43" t="n">
        <x:v>47</x:v>
      </x:c>
      <x:c r="C6" s="34" t="str">
        <x:v>(H2O)47</x:v>
      </x:c>
      <x:c r="D6" s="44" t="n">
        <x:v>141</x:v>
      </x:c>
      <x:c r="E6" s="44" t="n">
        <x:v>1175</x:v>
      </x:c>
      <x:c r="F6" s="44" t="n">
        <x:v>3995</x:v>
      </x:c>
      <x:c r="G6" s="44" t="n">
        <x:v>1583872</x:v>
      </x:c>
      <x:c r="H6" s="44" t="n">
        <x:v>1583808</x:v>
      </x:c>
      <x:c r="I6" s="45" t="n">
        <x:v>101.20222317899993</x:v>
      </x:c>
      <x:c r="J6" s="45" t="n">
        <x:v>0.03</x:v>
      </x:c>
      <x:c r="K6" s="45" t="n">
        <x:v>0.03</x:v>
      </x:c>
      <x:c r="L6" s="45" t="n">
        <x:v>5.3252299999999995</x:v>
      </x:c>
      <x:c r="M6" s="46" t="n">
        <x:f>I6-L6</x:f>
        <x:v>95.87699317899992</x:v>
      </x:c>
      <x:c r="N6" s="47" t="n">
        <x:v>14</x:v>
      </x:c>
      <x:c r="O6" s="46" t="n">
        <x:f>I6/N6</x:f>
        <x:v>7.2287302270714235</x:v>
      </x:c>
      <x:c r="P6" s="46" t="n">
        <x:f>M6/N6</x:f>
        <x:v>6.848356655642852</x:v>
      </x:c>
      <x:c r="Q6" s="37" t="b">
        <x:v>1</x:v>
      </x:c>
      <x:c r="R6" s="48" t="n">
        <x:v>-3585.65657391564</x:v>
      </x:c>
      <x:c r="S6" s="45" t="n">
        <x:v>185.74</x:v>
      </x:c>
      <x:c r="T6" s="49" t="n">
        <x:v>17</x:v>
      </x:c>
      <x:c r="U6" s="50" t="n">
        <x:f>S6/T6</x:f>
        <x:v>10.925882352941176</x:v>
      </x:c>
      <x:c r="V6" s="39" t="b">
        <x:v>1</x:v>
      </x:c>
      <x:c r="W6" s="51" t="n">
        <x:v>-3585.6587369511944</x:v>
      </x:c>
      <x:c r="X6" s="51" t="n">
        <x:f>W6-R6</x:f>
        <x:v>-0.002163035554531234</x:v>
      </x:c>
      <x:c r="Y6" s="45" t="n">
        <x:v>310.2834819010001</x:v>
      </x:c>
      <x:c r="Z6" s="52" t="str"/>
      <x:c r="AA6" s="53" t="str">
        <x:v>run1_pyscf-vs-pyfock-gpu-benchmark.ipynb</x:v>
      </x:c>
    </x:row>
    <x:row r="7" ht="28" customHeight="1">
      <x:c r="A7" s="42" t="n">
        <x:v>2</x:v>
      </x:c>
      <x:c r="B7" s="43" t="n">
        <x:v>5</x:v>
      </x:c>
      <x:c r="C7" s="34" t="str">
        <x:v>(H2O)5</x:v>
      </x:c>
      <x:c r="D7" s="44" t="n">
        <x:v>15</x:v>
      </x:c>
      <x:c r="E7" s="44" t="n">
        <x:v>125</x:v>
      </x:c>
      <x:c r="F7" s="44" t="n">
        <x:v>425</x:v>
      </x:c>
      <x:c r="G7" s="44" t="n">
        <x:v>168704</x:v>
      </x:c>
      <x:c r="H7" s="44" t="n">
        <x:v>168496</x:v>
      </x:c>
      <x:c r="I7" s="45" t="n">
        <x:v>13.933162262999986</x:v>
      </x:c>
      <x:c r="J7" s="45" t="n">
        <x:v>1.24</x:v>
      </x:c>
      <x:c r="K7" s="45" t="n">
        <x:v>1.25</x:v>
      </x:c>
      <x:c r="L7" s="45" t="n">
        <x:v>1.24597</x:v>
      </x:c>
      <x:c r="M7" s="46" t="n">
        <x:f>I7-L7</x:f>
        <x:v>12.687192262999986</x:v>
      </x:c>
      <x:c r="N7" s="47" t="n">
        <x:v>9</x:v>
      </x:c>
      <x:c r="O7" s="46" t="n">
        <x:f>I7/N7</x:f>
        <x:v>1.5481291403333317</x:v>
      </x:c>
      <x:c r="P7" s="46" t="n">
        <x:f>M7/N7</x:f>
        <x:v>1.4096880292222207</x:v>
      </x:c>
      <x:c r="Q7" s="37" t="b">
        <x:v>1</x:v>
      </x:c>
      <x:c r="R7" s="48" t="n">
        <x:v>-381.418731017223</x:v>
      </x:c>
      <x:c r="S7" s="45" t="n">
        <x:v>68.92</x:v>
      </x:c>
      <x:c r="T7" s="49" t="n">
        <x:v>11</x:v>
      </x:c>
      <x:c r="U7" s="50" t="n">
        <x:f>S7/T7</x:f>
        <x:v>6.265454545454546</x:v>
      </x:c>
      <x:c r="V7" s="39" t="b">
        <x:v>1</x:v>
      </x:c>
      <x:c r="W7" s="51" t="n">
        <x:v>-381.41896096662674</x:v>
      </x:c>
      <x:c r="X7" s="51" t="n">
        <x:f>W7-R7</x:f>
        <x:v>-0.00022994940371745543</x:v>
      </x:c>
      <x:c r="Y7" s="45" t="n">
        <x:v>2.343271767999795</x:v>
      </x:c>
      <x:c r="Z7" s="52" t="str">
        <x:v>Cold start / JIT overhead</x:v>
      </x:c>
      <x:c r="AA7" s="53" t="str">
        <x:v>run2_pyscf-vs-pyfock-gpu-benchmark.ipynb</x:v>
      </x:c>
    </x:row>
    <x:row r="8" ht="28" customHeight="1">
      <x:c r="A8" s="42" t="n">
        <x:v>2</x:v>
      </x:c>
      <x:c r="B8" s="43" t="n">
        <x:v>10</x:v>
      </x:c>
      <x:c r="C8" s="34" t="str">
        <x:v>(H2O)10</x:v>
      </x:c>
      <x:c r="D8" s="44" t="n">
        <x:v>30</x:v>
      </x:c>
      <x:c r="E8" s="44" t="n">
        <x:v>250</x:v>
      </x:c>
      <x:c r="F8" s="44" t="n">
        <x:v>850</x:v>
      </x:c>
      <x:c r="G8" s="44" t="n">
        <x:v>337152</x:v>
      </x:c>
      <x:c r="H8" s="44" t="n">
        <x:v>336984</x:v>
      </x:c>
      <x:c r="I8" s="45" t="n">
        <x:v>4.195618555999999</x:v>
      </x:c>
      <x:c r="J8" s="45" t="n">
        <x:v>0.01</x:v>
      </x:c>
      <x:c r="K8" s="45" t="n">
        <x:v>0.01</x:v>
      </x:c>
      <x:c r="L8" s="45" t="n">
        <x:v>0.05933</x:v>
      </x:c>
      <x:c r="M8" s="46" t="n">
        <x:f>I8-L8</x:f>
        <x:v>4.136288555999999</x:v>
      </x:c>
      <x:c r="N8" s="47" t="n">
        <x:v>11</x:v>
      </x:c>
      <x:c r="O8" s="46" t="n">
        <x:f>I8/N8</x:f>
        <x:v>0.3814198687272727</x:v>
      </x:c>
      <x:c r="P8" s="46" t="n">
        <x:f>M8/N8</x:f>
        <x:v>0.3760262323636363</x:v>
      </x:c>
      <x:c r="Q8" s="37" t="b">
        <x:v>1</x:v>
      </x:c>
      <x:c r="R8" s="48" t="n">
        <x:v>-762.843592615884</x:v>
      </x:c>
      <x:c r="S8" s="45" t="n">
        <x:v>10.8</x:v>
      </x:c>
      <x:c r="T8" s="49" t="n">
        <x:v>16</x:v>
      </x:c>
      <x:c r="U8" s="50" t="n">
        <x:f>S8/T8</x:f>
        <x:v>0.675</x:v>
      </x:c>
      <x:c r="V8" s="39" t="b">
        <x:v>1</x:v>
      </x:c>
      <x:c r="W8" s="51" t="n">
        <x:v>-762.8440526996278</x:v>
      </x:c>
      <x:c r="X8" s="51" t="n">
        <x:f>W8-R8</x:f>
        <x:v>-0.0004600837438601957</x:v>
      </x:c>
      <x:c r="Y8" s="45" t="n">
        <x:v>8.861060700999815</x:v>
      </x:c>
      <x:c r="Z8" s="52" t="str"/>
      <x:c r="AA8" s="53" t="str">
        <x:v>run2_pyscf-vs-pyfock-gpu-benchmark.ipynb</x:v>
      </x:c>
    </x:row>
    <x:row r="9" ht="28" customHeight="1">
      <x:c r="A9" s="42" t="n">
        <x:v>2</x:v>
      </x:c>
      <x:c r="B9" s="43" t="n">
        <x:v>20</x:v>
      </x:c>
      <x:c r="C9" s="34" t="str">
        <x:v>(H2O)20</x:v>
      </x:c>
      <x:c r="D9" s="44" t="n">
        <x:v>60</x:v>
      </x:c>
      <x:c r="E9" s="44" t="n">
        <x:v>500</x:v>
      </x:c>
      <x:c r="F9" s="44" t="n">
        <x:v>1700</x:v>
      </x:c>
      <x:c r="G9" s="44" t="n">
        <x:v>674048</x:v>
      </x:c>
      <x:c r="H9" s="44" t="n">
        <x:v>673960</x:v>
      </x:c>
      <x:c r="I9" s="45" t="n">
        <x:v>20.178966184000046</x:v>
      </x:c>
      <x:c r="J9" s="45" t="n">
        <x:v>0.01</x:v>
      </x:c>
      <x:c r="K9" s="45" t="n">
        <x:v>0.01</x:v>
      </x:c>
      <x:c r="L9" s="45" t="n">
        <x:v>0.42412</x:v>
      </x:c>
      <x:c r="M9" s="46" t="n">
        <x:f>I9-L9</x:f>
        <x:v>19.754846184000048</x:v>
      </x:c>
      <x:c r="N9" s="47" t="n">
        <x:v>14</x:v>
      </x:c>
      <x:c r="O9" s="46" t="n">
        <x:f>I9/N9</x:f>
        <x:v>1.4413547274285747</x:v>
      </x:c>
      <x:c r="P9" s="46" t="n">
        <x:f>M9/N9</x:f>
        <x:v>1.4110604417142891</x:v>
      </x:c>
      <x:c r="Q9" s="37" t="b">
        <x:v>1</x:v>
      </x:c>
      <x:c r="R9" s="48" t="n">
        <x:v>-1525.7561066381</x:v>
      </x:c>
      <x:c r="S9" s="45" t="n">
        <x:v>34.07</x:v>
      </x:c>
      <x:c r="T9" s="49" t="n">
        <x:v>15</x:v>
      </x:c>
      <x:c r="U9" s="50" t="n">
        <x:f>S9/T9</x:f>
        <x:v>2.271333333333333</x:v>
      </x:c>
      <x:c r="V9" s="39" t="b">
        <x:v>1</x:v>
      </x:c>
      <x:c r="W9" s="51" t="n">
        <x:v>-1525.7570268392305</x:v>
      </x:c>
      <x:c r="X9" s="51" t="n">
        <x:f>W9-R9</x:f>
        <x:v>-0.000920201130611531</x:v>
      </x:c>
      <x:c r="Y9" s="45" t="n">
        <x:v>44.818633309999996</x:v>
      </x:c>
      <x:c r="Z9" s="52" t="str"/>
      <x:c r="AA9" s="53" t="str">
        <x:v>run2_pyscf-vs-pyfock-gpu-benchmark.ipynb</x:v>
      </x:c>
    </x:row>
    <x:row r="10" ht="28" customHeight="1">
      <x:c r="A10" s="42" t="n">
        <x:v>2</x:v>
      </x:c>
      <x:c r="B10" s="43" t="n">
        <x:v>32</x:v>
      </x:c>
      <x:c r="C10" s="34" t="str">
        <x:v>(H2O)32</x:v>
      </x:c>
      <x:c r="D10" s="44" t="n">
        <x:v>96</x:v>
      </x:c>
      <x:c r="E10" s="44" t="n">
        <x:v>800</x:v>
      </x:c>
      <x:c r="F10" s="44" t="n">
        <x:v>2720</x:v>
      </x:c>
      <x:c r="G10" s="44" t="n">
        <x:v>1078528</x:v>
      </x:c>
      <x:c r="H10" s="44" t="n">
        <x:v>1078336</x:v>
      </x:c>
      <x:c r="I10" s="45" t="n">
        <x:v>49.24759335900012</x:v>
      </x:c>
      <x:c r="J10" s="45" t="n">
        <x:v>0.02</x:v>
      </x:c>
      <x:c r="K10" s="45" t="n">
        <x:v>0.02</x:v>
      </x:c>
      <x:c r="L10" s="45" t="n">
        <x:v>1.67979</x:v>
      </x:c>
      <x:c r="M10" s="46" t="n">
        <x:f>I10-L10</x:f>
        <x:v>47.56780335900012</x:v>
      </x:c>
      <x:c r="N10" s="47" t="n">
        <x:v>14</x:v>
      </x:c>
      <x:c r="O10" s="46" t="n">
        <x:f>I10/N10</x:f>
        <x:v>3.51768523992858</x:v>
      </x:c>
      <x:c r="P10" s="46" t="n">
        <x:f>M10/N10</x:f>
        <x:v>3.39770023992858</x:v>
      </x:c>
      <x:c r="Q10" s="37" t="b">
        <x:v>1</x:v>
      </x:c>
      <x:c r="R10" s="48" t="n">
        <x:v>-2441.29564435707</x:v>
      </x:c>
      <x:c r="S10" s="45" t="n">
        <x:v>83.97</x:v>
      </x:c>
      <x:c r="T10" s="49" t="n">
        <x:v>16</x:v>
      </x:c>
      <x:c r="U10" s="50" t="n">
        <x:f>S10/T10</x:f>
        <x:v>5.248125</x:v>
      </x:c>
      <x:c r="V10" s="39" t="b">
        <x:v>1</x:v>
      </x:c>
      <x:c r="W10" s="51" t="n">
        <x:v>-2441.297116957411</x:v>
      </x:c>
      <x:c r="X10" s="51" t="n">
        <x:f>W10-R10</x:f>
        <x:v>-0.0014726003410032718</x:v>
      </x:c>
      <x:c r="Y10" s="45" t="n">
        <x:v>113.86539353799981</x:v>
      </x:c>
      <x:c r="Z10" s="52" t="str"/>
      <x:c r="AA10" s="53" t="str">
        <x:v>run2_pyscf-vs-pyfock-gpu-benchmark.ipynb</x:v>
      </x:c>
    </x:row>
    <x:row r="11" ht="28" customHeight="1">
      <x:c r="A11" s="42" t="n">
        <x:v>2</x:v>
      </x:c>
      <x:c r="B11" s="43" t="n">
        <x:v>47</x:v>
      </x:c>
      <x:c r="C11" s="34" t="str">
        <x:v>(H2O)47</x:v>
      </x:c>
      <x:c r="D11" s="44" t="n">
        <x:v>141</x:v>
      </x:c>
      <x:c r="E11" s="44" t="n">
        <x:v>1175</x:v>
      </x:c>
      <x:c r="F11" s="44" t="n">
        <x:v>3995</x:v>
      </x:c>
      <x:c r="G11" s="44" t="n">
        <x:v>1583872</x:v>
      </x:c>
      <x:c r="H11" s="44" t="n">
        <x:v>1583808</x:v>
      </x:c>
      <x:c r="I11" s="45" t="n">
        <x:v>104.05248688300003</x:v>
      </x:c>
      <x:c r="J11" s="45" t="n">
        <x:v>0.02</x:v>
      </x:c>
      <x:c r="K11" s="45" t="n">
        <x:v>0.02</x:v>
      </x:c>
      <x:c r="L11" s="45" t="n">
        <x:v>5.31362</x:v>
      </x:c>
      <x:c r="M11" s="46" t="n">
        <x:f>I11-L11</x:f>
        <x:v>98.73886688300003</x:v>
      </x:c>
      <x:c r="N11" s="47" t="n">
        <x:v>14</x:v>
      </x:c>
      <x:c r="O11" s="46" t="n">
        <x:f>I11/N11</x:f>
        <x:v>7.43232049164286</x:v>
      </x:c>
      <x:c r="P11" s="46" t="n">
        <x:f>M11/N11</x:f>
        <x:v>7.0527762059285735</x:v>
      </x:c>
      <x:c r="Q11" s="37" t="b">
        <x:v>1</x:v>
      </x:c>
      <x:c r="R11" s="48" t="n">
        <x:v>-3585.65657391564</x:v>
      </x:c>
      <x:c r="S11" s="45" t="n">
        <x:v>191.22</x:v>
      </x:c>
      <x:c r="T11" s="49" t="n">
        <x:v>17</x:v>
      </x:c>
      <x:c r="U11" s="50" t="n">
        <x:f>S11/T11</x:f>
        <x:v>11.248235294117647</x:v>
      </x:c>
      <x:c r="V11" s="39" t="b">
        <x:v>1</x:v>
      </x:c>
      <x:c r="W11" s="51" t="n">
        <x:v>-3585.6587369511744</x:v>
      </x:c>
      <x:c r="X11" s="51" t="n">
        <x:f>W11-R11</x:f>
        <x:v>-0.0021630355345223506</x:v>
      </x:c>
      <x:c r="Y11" s="45" t="n">
        <x:v>255.06197469299968</x:v>
      </x:c>
      <x:c r="Z11" s="52" t="str"/>
      <x:c r="AA11" s="53" t="str">
        <x:v>run2_pyscf-vs-pyfock-gpu-benchmark.ipynb</x:v>
      </x:c>
    </x:row>
  </x:sheetData>
  <x:pageMargins left="0.7" right="0.7" top="0.75" bottom="0.75" header="0.3" footer="0.3"/>
  <x:tableParts count="1">
    <x:tablePart xmlns:r="http://schemas.openxmlformats.org/officeDocument/2006/relationships" r:id="Rb835bbf2c7374d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9" hidden="0" customWidth="1"/>
    <x:col min="4" max="4" width="13" hidden="0" customWidth="1"/>
    <x:col min="5" max="5" width="19" hidden="0" customWidth="1"/>
    <x:col min="6" max="6" width="20" hidden="0" customWidth="1"/>
    <x:col min="7" max="7" width="21" hidden="0" customWidth="1"/>
    <x:col min="8" max="8" width="15" hidden="0" customWidth="1"/>
    <x:col min="9" max="9" width="24" hidden="0" customWidth="1"/>
    <x:col min="10" max="10" width="18" hidden="0" customWidth="1"/>
    <x:col min="11" max="11" width="14" hidden="0" customWidth="1"/>
    <x:col min="12" max="12" width="20" hidden="0" customWidth="1"/>
    <x:col min="13" max="13" width="21" hidden="0" customWidth="1"/>
  </x:cols>
  <x:sheetData>
    <x:row r="1" ht="34" customHeight="1">
      <x:c r="A1" s="3" t="str">
        <x:v>Tesla T4 Water-Cluster Timing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54" t="str">
        <x:v>Two-run means. GPU4PySCF adjusted timings exclude the CUDA-event grid-construction duration.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</x:row>
    <x:row r="4" ht="58" customHeight="1">
      <x:c r="A4" s="60" t="str">
        <x:v>Cluster</x:v>
      </x:c>
      <x:c r="B4" s="61" t="str">
        <x:v>Water molecules</x:v>
      </x:c>
      <x:c r="C4" s="61" t="str">
        <x:v>Atoms</x:v>
      </x:c>
      <x:c r="D4" s="61" t="str">
        <x:v>Basis functions</x:v>
      </x:c>
      <x:c r="E4" s="61" t="str">
        <x:v>GPU4PySCF total wall time (s)</x:v>
      </x:c>
      <x:c r="F4" s="61" t="str">
        <x:v>Grid setup GPU elapsed time (s)</x:v>
      </x:c>
      <x:c r="G4" s="61" t="str">
        <x:v>GPU4PySCF wall time excl. grid (s)</x:v>
      </x:c>
      <x:c r="H4" s="61" t="str">
        <x:v>GPU4PySCF SCF iterations</x:v>
      </x:c>
      <x:c r="I4" s="61" t="str">
        <x:v>GPU4PySCF wall time excl. grid / iteration (s)</x:v>
      </x:c>
      <x:c r="J4" s="61" t="str">
        <x:v>PyFock total wall time (s)</x:v>
      </x:c>
      <x:c r="K4" s="61" t="str">
        <x:v>PyFock SCF iterations</x:v>
      </x:c>
      <x:c r="L4" s="61" t="str">
        <x:v>PyFock wall time / iteration (s)</x:v>
      </x:c>
      <x:c r="M4" s="62" t="str">
        <x:v>PyFock / GPU4PySCF adjusted-time ratio</x:v>
      </x:c>
    </x:row>
    <x:row r="5" ht="27" customHeight="1">
      <x:c r="A5" s="63" t="str">
        <x:f>'Raw Data'!C2</x:f>
        <x:v>(H2O)5</x:v>
      </x:c>
      <x:c r="B5" s="68" t="n">
        <x:f>'Raw Data'!B2</x:f>
        <x:v>5</x:v>
      </x:c>
      <x:c r="C5" s="68" t="n">
        <x:f>'Raw Data'!D2</x:f>
        <x:v>15</x:v>
      </x:c>
      <x:c r="D5" s="68" t="n">
        <x:f>'Raw Data'!E2</x:f>
        <x:v>125</x:v>
      </x:c>
      <x:c r="E5" s="69" t="n">
        <x:f>AVERAGE('Raw Data'!I2,'Raw Data'!I7)</x:f>
        <x:v>15.093612959499978</x:v>
      </x:c>
      <x:c r="F5" s="69" t="n">
        <x:f>AVERAGE('Raw Data'!L2,'Raw Data'!L7)</x:f>
        <x:v>1.395445</x:v>
      </x:c>
      <x:c r="G5" s="69" t="n">
        <x:f>AVERAGE('Raw Data'!M2,'Raw Data'!M7)</x:f>
        <x:v>13.69816795949998</x:v>
      </x:c>
      <x:c r="H5" s="70" t="n">
        <x:f>AVERAGE('Raw Data'!N2,'Raw Data'!N7)</x:f>
        <x:v>9</x:v>
      </x:c>
      <x:c r="I5" s="69" t="n">
        <x:f>AVERAGE('Raw Data'!P2,'Raw Data'!P7)</x:f>
        <x:v>1.5220186621666643</x:v>
      </x:c>
      <x:c r="J5" s="71" t="n">
        <x:f>AVERAGE('Raw Data'!S2,'Raw Data'!S7)</x:f>
        <x:v>79.53</x:v>
      </x:c>
      <x:c r="K5" s="72" t="n">
        <x:f>AVERAGE('Raw Data'!T2,'Raw Data'!T7)</x:f>
        <x:v>11</x:v>
      </x:c>
      <x:c r="L5" s="71" t="n">
        <x:f>AVERAGE('Raw Data'!U2,'Raw Data'!U7)</x:f>
        <x:v>7.23</x:v>
      </x:c>
      <x:c r="M5" s="73" t="n">
        <x:f>J5/G5</x:f>
        <x:v>5.805885884531311</x:v>
      </x:c>
    </x:row>
    <x:row r="6" ht="27" customHeight="1">
      <x:c r="A6" s="63" t="str">
        <x:f>'Raw Data'!C3</x:f>
        <x:v>(H2O)10</x:v>
      </x:c>
      <x:c r="B6" s="68" t="n">
        <x:f>'Raw Data'!B3</x:f>
        <x:v>10</x:v>
      </x:c>
      <x:c r="C6" s="68" t="n">
        <x:f>'Raw Data'!D3</x:f>
        <x:v>30</x:v>
      </x:c>
      <x:c r="D6" s="68" t="n">
        <x:f>'Raw Data'!E3</x:f>
        <x:v>250</x:v>
      </x:c>
      <x:c r="E6" s="69" t="n">
        <x:f>AVERAGE('Raw Data'!I3,'Raw Data'!I8)</x:f>
        <x:v>4.295869761999995</x:v>
      </x:c>
      <x:c r="F6" s="69" t="n">
        <x:f>AVERAGE('Raw Data'!L3,'Raw Data'!L8)</x:f>
        <x:v>0.05993</x:v>
      </x:c>
      <x:c r="G6" s="69" t="n">
        <x:f>AVERAGE('Raw Data'!M3,'Raw Data'!M8)</x:f>
        <x:v>4.235939761999996</x:v>
      </x:c>
      <x:c r="H6" s="70" t="n">
        <x:f>AVERAGE('Raw Data'!N3,'Raw Data'!N8)</x:f>
        <x:v>11</x:v>
      </x:c>
      <x:c r="I6" s="69" t="n">
        <x:f>AVERAGE('Raw Data'!P3,'Raw Data'!P8)</x:f>
        <x:v>0.3850854329090905</x:v>
      </x:c>
      <x:c r="J6" s="71" t="n">
        <x:f>AVERAGE('Raw Data'!S3,'Raw Data'!S8)</x:f>
        <x:v>10.985</x:v>
      </x:c>
      <x:c r="K6" s="72" t="n">
        <x:f>AVERAGE('Raw Data'!T3,'Raw Data'!T8)</x:f>
        <x:v>16</x:v>
      </x:c>
      <x:c r="L6" s="71" t="n">
        <x:f>AVERAGE('Raw Data'!U3,'Raw Data'!U8)</x:f>
        <x:v>0.6865625</x:v>
      </x:c>
      <x:c r="M6" s="73" t="n">
        <x:f>J6/G6</x:f>
        <x:v>2.5932852252869245</x:v>
      </x:c>
    </x:row>
    <x:row r="7" ht="27" customHeight="1">
      <x:c r="A7" s="63" t="str">
        <x:f>'Raw Data'!C4</x:f>
        <x:v>(H2O)20</x:v>
      </x:c>
      <x:c r="B7" s="68" t="n">
        <x:f>'Raw Data'!B4</x:f>
        <x:v>20</x:v>
      </x:c>
      <x:c r="C7" s="68" t="n">
        <x:f>'Raw Data'!D4</x:f>
        <x:v>60</x:v>
      </x:c>
      <x:c r="D7" s="68" t="n">
        <x:f>'Raw Data'!E4</x:f>
        <x:v>500</x:v>
      </x:c>
      <x:c r="E7" s="69" t="n">
        <x:f>AVERAGE('Raw Data'!I4,'Raw Data'!I9)</x:f>
        <x:v>20.069037229000003</x:v>
      </x:c>
      <x:c r="F7" s="69" t="n">
        <x:f>AVERAGE('Raw Data'!L4,'Raw Data'!L9)</x:f>
        <x:v>0.42982</x:v>
      </x:c>
      <x:c r="G7" s="69" t="n">
        <x:f>AVERAGE('Raw Data'!M4,'Raw Data'!M9)</x:f>
        <x:v>19.639217229000003</x:v>
      </x:c>
      <x:c r="H7" s="70" t="n">
        <x:f>AVERAGE('Raw Data'!N4,'Raw Data'!N9)</x:f>
        <x:v>14</x:v>
      </x:c>
      <x:c r="I7" s="69" t="n">
        <x:f>AVERAGE('Raw Data'!P4,'Raw Data'!P9)</x:f>
        <x:v>1.4028012306428574</x:v>
      </x:c>
      <x:c r="J7" s="71" t="n">
        <x:f>AVERAGE('Raw Data'!S4,'Raw Data'!S9)</x:f>
        <x:v>33.445</x:v>
      </x:c>
      <x:c r="K7" s="72" t="n">
        <x:f>AVERAGE('Raw Data'!T4,'Raw Data'!T9)</x:f>
        <x:v>15</x:v>
      </x:c>
      <x:c r="L7" s="71" t="n">
        <x:f>AVERAGE('Raw Data'!U4,'Raw Data'!U9)</x:f>
        <x:v>2.2296666666666667</x:v>
      </x:c>
      <x:c r="M7" s="73" t="n">
        <x:f>J7/G7</x:f>
        <x:v>1.7029701138298863</x:v>
      </x:c>
    </x:row>
    <x:row r="8" ht="27" customHeight="1">
      <x:c r="A8" s="63" t="str">
        <x:f>'Raw Data'!C5</x:f>
        <x:v>(H2O)32</x:v>
      </x:c>
      <x:c r="B8" s="68" t="n">
        <x:f>'Raw Data'!B5</x:f>
        <x:v>32</x:v>
      </x:c>
      <x:c r="C8" s="68" t="n">
        <x:f>'Raw Data'!D5</x:f>
        <x:v>96</x:v>
      </x:c>
      <x:c r="D8" s="68" t="n">
        <x:f>'Raw Data'!E5</x:f>
        <x:v>800</x:v>
      </x:c>
      <x:c r="E8" s="69" t="n">
        <x:f>AVERAGE('Raw Data'!I5,'Raw Data'!I10)</x:f>
        <x:v>49.09628713650005</x:v>
      </x:c>
      <x:c r="F8" s="69" t="n">
        <x:f>AVERAGE('Raw Data'!L5,'Raw Data'!L10)</x:f>
        <x:v>1.681365</x:v>
      </x:c>
      <x:c r="G8" s="69" t="n">
        <x:f>AVERAGE('Raw Data'!M5,'Raw Data'!M10)</x:f>
        <x:v>47.41492213650005</x:v>
      </x:c>
      <x:c r="H8" s="70" t="n">
        <x:f>AVERAGE('Raw Data'!N5,'Raw Data'!N10)</x:f>
        <x:v>14</x:v>
      </x:c>
      <x:c r="I8" s="69" t="n">
        <x:f>AVERAGE('Raw Data'!P5,'Raw Data'!P10)</x:f>
        <x:v>3.3867801526071464</x:v>
      </x:c>
      <x:c r="J8" s="71" t="n">
        <x:f>AVERAGE('Raw Data'!S5,'Raw Data'!S10)</x:f>
        <x:v>82.75</x:v>
      </x:c>
      <x:c r="K8" s="72" t="n">
        <x:f>AVERAGE('Raw Data'!T5,'Raw Data'!T10)</x:f>
        <x:v>16</x:v>
      </x:c>
      <x:c r="L8" s="71" t="n">
        <x:f>AVERAGE('Raw Data'!U5,'Raw Data'!U10)</x:f>
        <x:v>5.171875</x:v>
      </x:c>
      <x:c r="M8" s="73" t="n">
        <x:f>J8/G8</x:f>
        <x:v>1.745231169246168</x:v>
      </x:c>
    </x:row>
    <x:row r="9" ht="27" customHeight="1">
      <x:c r="A9" s="63" t="str">
        <x:f>'Raw Data'!C6</x:f>
        <x:v>(H2O)47</x:v>
      </x:c>
      <x:c r="B9" s="68" t="n">
        <x:f>'Raw Data'!B6</x:f>
        <x:v>47</x:v>
      </x:c>
      <x:c r="C9" s="68" t="n">
        <x:f>'Raw Data'!D6</x:f>
        <x:v>141</x:v>
      </x:c>
      <x:c r="D9" s="68" t="n">
        <x:f>'Raw Data'!E6</x:f>
        <x:v>1175</x:v>
      </x:c>
      <x:c r="E9" s="69" t="n">
        <x:f>AVERAGE('Raw Data'!I6,'Raw Data'!I11)</x:f>
        <x:v>102.62735503099998</x:v>
      </x:c>
      <x:c r="F9" s="69" t="n">
        <x:f>AVERAGE('Raw Data'!L6,'Raw Data'!L11)</x:f>
        <x:v>5.319425</x:v>
      </x:c>
      <x:c r="G9" s="69" t="n">
        <x:f>AVERAGE('Raw Data'!M6,'Raw Data'!M11)</x:f>
        <x:v>97.30793003099998</x:v>
      </x:c>
      <x:c r="H9" s="70" t="n">
        <x:f>AVERAGE('Raw Data'!N6,'Raw Data'!N11)</x:f>
        <x:v>14</x:v>
      </x:c>
      <x:c r="I9" s="69" t="n">
        <x:f>AVERAGE('Raw Data'!P6,'Raw Data'!P11)</x:f>
        <x:v>6.950566430785713</x:v>
      </x:c>
      <x:c r="J9" s="71" t="n">
        <x:f>AVERAGE('Raw Data'!S6,'Raw Data'!S11)</x:f>
        <x:v>188.48000000000002</x:v>
      </x:c>
      <x:c r="K9" s="72" t="n">
        <x:f>AVERAGE('Raw Data'!T6,'Raw Data'!T11)</x:f>
        <x:v>17</x:v>
      </x:c>
      <x:c r="L9" s="71" t="n">
        <x:f>AVERAGE('Raw Data'!U6,'Raw Data'!U11)</x:f>
        <x:v>11.08705882352941</x:v>
      </x:c>
      <x:c r="M9" s="73" t="n">
        <x:f>J9/G9</x:f>
        <x:v>1.9369438846346314</x:v>
      </x:c>
    </x:row>
    <x:row r="11" ht="34" customHeight="1">
      <x:c r="A11" s="76" t="str">
        <x:v>Cold-start note: (H2O)5 includes first-use GPU and JIT compilation overhead and should not be interpreted as a warm scaling point.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</x:row>
  </x:sheetData>
  <x:mergeCells>
    <x:mergeCell ref="A1:M1"/>
    <x:mergeCell ref="A2:M2"/>
    <x:mergeCell ref="A11:M11"/>
  </x:mergeCells>
  <x:pageMargins left="0.7" right="0.7" top="0.75" bottom="0.75" header="0.3" footer="0.3"/>
  <x:tableParts count="1">
    <x:tablePart xmlns:r="http://schemas.openxmlformats.org/officeDocument/2006/relationships" r:id="R3ec2b6cec12142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5" hidden="0" customWidth="1"/>
    <x:col min="3" max="3" width="13" hidden="0" customWidth="1"/>
    <x:col min="4" max="4" width="13" hidden="0" customWidth="1"/>
    <x:col min="5" max="5" width="24" hidden="0" customWidth="1"/>
    <x:col min="6" max="6" width="65" hidden="0" customWidth="1"/>
  </x:cols>
  <x:sheetData>
    <x:row r="1" ht="32" customHeight="1">
      <x:c r="A1" s="83" t="str">
        <x:v>Software and Runtime Versions</x:v>
      </x:c>
      <x:c r="B1" s="83"/>
      <x:c r="C1" s="83"/>
      <x:c r="D1" s="83"/>
      <x:c r="E1" s="83"/>
      <x:c r="F1" s="83"/>
    </x:row>
    <x:row r="2" ht="38" customHeight="1">
      <x:c r="A2" s="87" t="str">
        <x:v>Versions parsed from the saved installation output, SCF runtime banners, and metadata of both Kaggle benchmark notebooks. Both runs recorded the same environment.</x:v>
      </x:c>
      <x:c r="B2" s="87"/>
      <x:c r="C2" s="87"/>
      <x:c r="D2" s="87"/>
      <x:c r="E2" s="87"/>
      <x:c r="F2" s="87"/>
    </x:row>
    <x:row r="4" ht="36" customHeight="1">
      <x:c r="A4" s="93" t="str">
        <x:v>Category</x:v>
      </x:c>
      <x:c r="B4" s="93" t="str">
        <x:v>Library or runtime</x:v>
      </x:c>
      <x:c r="C4" s="93" t="str">
        <x:v>Run 1</x:v>
      </x:c>
      <x:c r="D4" s="93" t="str">
        <x:v>Run 2</x:v>
      </x:c>
      <x:c r="E4" s="93" t="str">
        <x:v>Recorded from</x:v>
      </x:c>
      <x:c r="F4" s="93" t="str">
        <x:v>Notes</x:v>
      </x:c>
    </x:row>
    <x:row r="5" ht="15" hidden="0" customHeight="1">
      <x:c r="A5" s="109" t="str">
        <x:v>Runtime</x:v>
      </x:c>
      <x:c r="B5" s="106" t="str">
        <x:v>Python</x:v>
      </x:c>
      <x:c r="C5" s="107" t="str">
        <x:v>3.12.13</x:v>
      </x:c>
      <x:c r="D5" s="107" t="str">
        <x:v>3.12.13</x:v>
      </x:c>
      <x:c r="E5" s="108" t="str">
        <x:v>Notebook metadata</x:v>
      </x:c>
      <x:c r="F5" s="108" t="str"/>
    </x:row>
    <x:row r="6" ht="15" hidden="0" customHeight="1">
      <x:c r="A6" s="113" t="str">
        <x:v>Runtime</x:v>
      </x:c>
      <x:c r="B6" s="110" t="str">
        <x:v>Kaggle Docker image ID</x:v>
      </x:c>
      <x:c r="C6" s="111" t="str">
        <x:v>28755</x:v>
      </x:c>
      <x:c r="D6" s="111" t="str">
        <x:v>28755</x:v>
      </x:c>
      <x:c r="E6" s="112" t="str">
        <x:v>Notebook metadata</x:v>
      </x:c>
      <x:c r="F6" s="112" t="str">
        <x:v>Environment image identifier, not a library version.</x:v>
      </x:c>
    </x:row>
    <x:row r="7" ht="15" hidden="0" customHeight="1">
      <x:c r="A7" s="113" t="str">
        <x:v>Runtime</x:v>
      </x:c>
      <x:c r="B7" s="110" t="str">
        <x:v>Papermill</x:v>
      </x:c>
      <x:c r="C7" s="111" t="str">
        <x:v>2.7.0</x:v>
      </x:c>
      <x:c r="D7" s="111" t="str">
        <x:v>2.7.0</x:v>
      </x:c>
      <x:c r="E7" s="112" t="str">
        <x:v>Notebook metadata</x:v>
      </x:c>
      <x:c r="F7" s="112" t="str"/>
    </x:row>
    <x:row r="8" ht="26.399999618530273" hidden="0" customHeight="1">
      <x:c r="A8" s="117" t="str">
        <x:v>Benchmark software</x:v>
      </x:c>
      <x:c r="B8" s="114" t="str">
        <x:v>PyFock</x:v>
      </x:c>
      <x:c r="C8" s="115" t="str">
        <x:v>0.1.4</x:v>
      </x:c>
      <x:c r="D8" s="115" t="str">
        <x:v>0.1.4</x:v>
      </x:c>
      <x:c r="E8" s="116" t="str">
        <x:v>Install and runtime output</x:v>
      </x:c>
      <x:c r="F8" s="116" t="str">
        <x:v>Installed from the latest GitHub checkout at execution; the commit hash was not recorded.</x:v>
      </x:c>
    </x:row>
    <x:row r="9" ht="15" hidden="0" customHeight="1">
      <x:c r="A9" s="117" t="str">
        <x:v>Benchmark software</x:v>
      </x:c>
      <x:c r="B9" s="114" t="str">
        <x:v>PySCF</x:v>
      </x:c>
      <x:c r="C9" s="115" t="str">
        <x:v>2.14.0</x:v>
      </x:c>
      <x:c r="D9" s="115" t="str">
        <x:v>2.14.0</x:v>
      </x:c>
      <x:c r="E9" s="116" t="str">
        <x:v>Installation output</x:v>
      </x:c>
      <x:c r="F9" s="116" t="str"/>
    </x:row>
    <x:row r="10" ht="15" hidden="0" customHeight="1">
      <x:c r="A10" s="117" t="str">
        <x:v>Benchmark software</x:v>
      </x:c>
      <x:c r="B10" s="114" t="str">
        <x:v>GPU4PySCF (gpu4pyscf-cuda12x)</x:v>
      </x:c>
      <x:c r="C10" s="115" t="str">
        <x:v>1.8.0</x:v>
      </x:c>
      <x:c r="D10" s="115" t="str">
        <x:v>1.8.0</x:v>
      </x:c>
      <x:c r="E10" s="116" t="str">
        <x:v>Installation output</x:v>
      </x:c>
      <x:c r="F10" s="116" t="str"/>
    </x:row>
    <x:row r="11" ht="15" hidden="0" customHeight="1">
      <x:c r="A11" s="117" t="str">
        <x:v>Benchmark software</x:v>
      </x:c>
      <x:c r="B11" s="114" t="str">
        <x:v>GPU4PySCF LibXC package (gpu4pyscf-libxc-cuda12x)</x:v>
      </x:c>
      <x:c r="C11" s="115" t="str">
        <x:v>0.8.1</x:v>
      </x:c>
      <x:c r="D11" s="115" t="str">
        <x:v>0.8.1</x:v>
      </x:c>
      <x:c r="E11" s="116" t="str">
        <x:v>Installation output</x:v>
      </x:c>
      <x:c r="F11" s="116" t="str"/>
    </x:row>
    <x:row r="12" ht="15" hidden="0" customHeight="1">
      <x:c r="A12" s="117" t="str">
        <x:v>Benchmark software</x:v>
      </x:c>
      <x:c r="B12" s="114" t="str">
        <x:v>LibXC</x:v>
      </x:c>
      <x:c r="C12" s="115" t="str">
        <x:v>7.0.0</x:v>
      </x:c>
      <x:c r="D12" s="115" t="str">
        <x:v>7.0.0</x:v>
      </x:c>
      <x:c r="E12" s="116" t="str">
        <x:v>SCF runtime banner</x:v>
      </x:c>
      <x:c r="F12" s="116" t="str">
        <x:v>CUDA-enabled LibXC reported by GPU4PySCF.</x:v>
      </x:c>
    </x:row>
    <x:row r="13" ht="15" hidden="0" customHeight="1">
      <x:c r="A13" s="121" t="str">
        <x:v>GPU stack</x:v>
      </x:c>
      <x:c r="B13" s="118" t="str">
        <x:v>CuPy (cupy-cuda12x)</x:v>
      </x:c>
      <x:c r="C13" s="119" t="str">
        <x:v>14.0.1</x:v>
      </x:c>
      <x:c r="D13" s="119" t="str">
        <x:v>14.0.1</x:v>
      </x:c>
      <x:c r="E13" s="120" t="str">
        <x:v>Installation output</x:v>
      </x:c>
      <x:c r="F13" s="120" t="str"/>
    </x:row>
    <x:row r="14" ht="15" hidden="0" customHeight="1">
      <x:c r="A14" s="121" t="str">
        <x:v>GPU stack</x:v>
      </x:c>
      <x:c r="B14" s="118" t="str">
        <x:v>CUDA package target</x:v>
      </x:c>
      <x:c r="C14" s="119" t="str">
        <x:v>12.x</x:v>
      </x:c>
      <x:c r="D14" s="119" t="str">
        <x:v>12.x</x:v>
      </x:c>
      <x:c r="E14" s="120" t="str">
        <x:v>Package names</x:v>
      </x:c>
      <x:c r="F14" s="120" t="str">
        <x:v>The exact CUDA runtime and NVIDIA driver versions were not printed in the notebooks.</x:v>
      </x:c>
    </x:row>
    <x:row r="15" ht="15" hidden="0" customHeight="1">
      <x:c r="A15" s="113" t="str">
        <x:v>Scientific dependency</x:v>
      </x:c>
      <x:c r="B15" s="110" t="str">
        <x:v>NumPy</x:v>
      </x:c>
      <x:c r="C15" s="111" t="str">
        <x:v>2.0.2</x:v>
      </x:c>
      <x:c r="D15" s="111" t="str">
        <x:v>2.0.2</x:v>
      </x:c>
      <x:c r="E15" s="112" t="str">
        <x:v>Installation output</x:v>
      </x:c>
      <x:c r="F15" s="112" t="str"/>
    </x:row>
    <x:row r="16" ht="15" hidden="0" customHeight="1">
      <x:c r="A16" s="113" t="str">
        <x:v>Scientific dependency</x:v>
      </x:c>
      <x:c r="B16" s="110" t="str">
        <x:v>SciPy</x:v>
      </x:c>
      <x:c r="C16" s="111" t="str">
        <x:v>1.16.3</x:v>
      </x:c>
      <x:c r="D16" s="111" t="str">
        <x:v>1.16.3</x:v>
      </x:c>
      <x:c r="E16" s="112" t="str">
        <x:v>Installation output</x:v>
      </x:c>
      <x:c r="F16" s="112" t="str"/>
    </x:row>
    <x:row r="17" ht="15" hidden="0" customHeight="1">
      <x:c r="A17" s="113" t="str">
        <x:v>Scientific dependency</x:v>
      </x:c>
      <x:c r="B17" s="110" t="str">
        <x:v>Numba</x:v>
      </x:c>
      <x:c r="C17" s="111" t="str">
        <x:v>0.60.0</x:v>
      </x:c>
      <x:c r="D17" s="111" t="str">
        <x:v>0.60.0</x:v>
      </x:c>
      <x:c r="E17" s="112" t="str">
        <x:v>Installation output</x:v>
      </x:c>
      <x:c r="F17" s="112" t="str"/>
    </x:row>
    <x:row r="18" ht="15" hidden="0" customHeight="1">
      <x:c r="A18" s="113" t="str">
        <x:v>Scientific dependency</x:v>
      </x:c>
      <x:c r="B18" s="110" t="str">
        <x:v>llvmlite</x:v>
      </x:c>
      <x:c r="C18" s="111" t="str">
        <x:v>0.43.0</x:v>
      </x:c>
      <x:c r="D18" s="111" t="str">
        <x:v>0.43.0</x:v>
      </x:c>
      <x:c r="E18" s="112" t="str">
        <x:v>Installation output</x:v>
      </x:c>
      <x:c r="F18" s="112" t="str"/>
    </x:row>
    <x:row r="19" ht="15" hidden="0" customHeight="1">
      <x:c r="A19" s="113" t="str">
        <x:v>Scientific dependency</x:v>
      </x:c>
      <x:c r="B19" s="110" t="str">
        <x:v>NumExpr</x:v>
      </x:c>
      <x:c r="C19" s="111" t="str">
        <x:v>2.14.1</x:v>
      </x:c>
      <x:c r="D19" s="111" t="str">
        <x:v>2.14.1</x:v>
      </x:c>
      <x:c r="E19" s="112" t="str">
        <x:v>Installation output</x:v>
      </x:c>
      <x:c r="F19" s="112" t="str"/>
    </x:row>
    <x:row r="20" ht="15" hidden="0" customHeight="1">
      <x:c r="A20" s="113" t="str">
        <x:v>Scientific dependency</x:v>
      </x:c>
      <x:c r="B20" s="110" t="str">
        <x:v>NumGrid</x:v>
      </x:c>
      <x:c r="C20" s="111" t="str">
        <x:v>2.1.2</x:v>
      </x:c>
      <x:c r="D20" s="111" t="str">
        <x:v>2.1.2</x:v>
      </x:c>
      <x:c r="E20" s="112" t="str">
        <x:v>Installation output</x:v>
      </x:c>
      <x:c r="F20" s="112" t="str"/>
    </x:row>
    <x:row r="21" ht="15" hidden="0" customHeight="1">
      <x:c r="A21" s="113" t="str">
        <x:v>Scientific dependency</x:v>
      </x:c>
      <x:c r="B21" s="110" t="str">
        <x:v>opt_einsum</x:v>
      </x:c>
      <x:c r="C21" s="111" t="str">
        <x:v>3.4.0</x:v>
      </x:c>
      <x:c r="D21" s="111" t="str">
        <x:v>3.4.0</x:v>
      </x:c>
      <x:c r="E21" s="112" t="str">
        <x:v>Installation output</x:v>
      </x:c>
      <x:c r="F21" s="112" t="str"/>
    </x:row>
    <x:row r="22" ht="15" hidden="0" customHeight="1">
      <x:c r="A22" s="113" t="str">
        <x:v>Scientific dependency</x:v>
      </x:c>
      <x:c r="B22" s="110" t="str">
        <x:v>joblib</x:v>
      </x:c>
      <x:c r="C22" s="111" t="str">
        <x:v>1.5.3</x:v>
      </x:c>
      <x:c r="D22" s="111" t="str">
        <x:v>1.5.3</x:v>
      </x:c>
      <x:c r="E22" s="112" t="str">
        <x:v>Installation output</x:v>
      </x:c>
      <x:c r="F22" s="112" t="str"/>
    </x:row>
    <x:row r="23" ht="15" hidden="0" customHeight="1">
      <x:c r="A23" s="113" t="str">
        <x:v>Scientific dependency</x:v>
      </x:c>
      <x:c r="B23" s="110" t="str">
        <x:v>threadpoolctl</x:v>
      </x:c>
      <x:c r="C23" s="111" t="str">
        <x:v>3.6.0</x:v>
      </x:c>
      <x:c r="D23" s="111" t="str">
        <x:v>3.6.0</x:v>
      </x:c>
      <x:c r="E23" s="112" t="str">
        <x:v>Installation output</x:v>
      </x:c>
      <x:c r="F23" s="112" t="str"/>
    </x:row>
    <x:row r="24" ht="15" hidden="0" customHeight="1">
      <x:c r="A24" s="113" t="str">
        <x:v>Scientific dependency</x:v>
      </x:c>
      <x:c r="B24" s="110" t="str">
        <x:v>psutil</x:v>
      </x:c>
      <x:c r="C24" s="111" t="str">
        <x:v>5.9.5</x:v>
      </x:c>
      <x:c r="D24" s="111" t="str">
        <x:v>5.9.5</x:v>
      </x:c>
      <x:c r="E24" s="112" t="str">
        <x:v>Installation output</x:v>
      </x:c>
      <x:c r="F24" s="112" t="str"/>
    </x:row>
    <x:row r="25" ht="15" hidden="0" customHeight="1">
      <x:c r="A25" s="113" t="str">
        <x:v>Scientific dependency</x:v>
      </x:c>
      <x:c r="B25" s="110" t="str">
        <x:v>h5py</x:v>
      </x:c>
      <x:c r="C25" s="111" t="str">
        <x:v>3.16.0</x:v>
      </x:c>
      <x:c r="D25" s="111" t="str">
        <x:v>3.16.0</x:v>
      </x:c>
      <x:c r="E25" s="112" t="str">
        <x:v>Installation output</x:v>
      </x:c>
      <x:c r="F25" s="112" t="str"/>
    </x:row>
    <x:row r="26" ht="15" hidden="0" customHeight="1">
      <x:c r="A26" s="125" t="str">
        <x:v>GPU4PySCF dependency</x:v>
      </x:c>
      <x:c r="B26" s="122" t="str">
        <x:v>PySCF dispersion</x:v>
      </x:c>
      <x:c r="C26" s="123" t="str">
        <x:v>1.5.0</x:v>
      </x:c>
      <x:c r="D26" s="123" t="str">
        <x:v>1.5.0</x:v>
      </x:c>
      <x:c r="E26" s="124" t="str">
        <x:v>Installation output</x:v>
      </x:c>
      <x:c r="F26" s="124" t="str"/>
    </x:row>
    <x:row r="27" ht="15" hidden="0" customHeight="1">
      <x:c r="A27" s="125" t="str">
        <x:v>GPU4PySCF dependency</x:v>
      </x:c>
      <x:c r="B27" s="122" t="str">
        <x:v>geomeTRIC</x:v>
      </x:c>
      <x:c r="C27" s="123" t="str">
        <x:v>1.1.1</x:v>
      </x:c>
      <x:c r="D27" s="123" t="str">
        <x:v>1.1.1</x:v>
      </x:c>
      <x:c r="E27" s="124" t="str">
        <x:v>Installation output</x:v>
      </x:c>
      <x:c r="F27" s="124" t="str"/>
    </x:row>
    <x:row r="28" ht="15" hidden="0" customHeight="1">
      <x:c r="A28" s="121" t="str">
        <x:v>GPU stack</x:v>
      </x:c>
      <x:c r="B28" s="118" t="str">
        <x:v>cuda-pathfinder</x:v>
      </x:c>
      <x:c r="C28" s="119" t="str">
        <x:v>1.5.3</x:v>
      </x:c>
      <x:c r="D28" s="119" t="str">
        <x:v>1.5.3</x:v>
      </x:c>
      <x:c r="E28" s="120" t="str">
        <x:v>Installation output</x:v>
      </x:c>
      <x:c r="F28" s="120" t="str"/>
    </x:row>
    <x:row r="29" ht="15" hidden="0" customHeight="1">
      <x:c r="A29" s="113" t="str">
        <x:v>Support dependency</x:v>
      </x:c>
      <x:c r="B29" s="110" t="str">
        <x:v>packaging</x:v>
      </x:c>
      <x:c r="C29" s="111" t="str">
        <x:v>26.1</x:v>
      </x:c>
      <x:c r="D29" s="111" t="str">
        <x:v>26.1</x:v>
      </x:c>
      <x:c r="E29" s="112" t="str">
        <x:v>Installation output</x:v>
      </x:c>
      <x:c r="F29" s="112" t="str"/>
    </x:row>
    <x:row r="30" ht="15" hidden="0" customHeight="1">
      <x:c r="A30" s="113" t="str">
        <x:v>Support dependency</x:v>
      </x:c>
      <x:c r="B30" s="110" t="str">
        <x:v>setuptools</x:v>
      </x:c>
      <x:c r="C30" s="111" t="str">
        <x:v>81.0.0</x:v>
      </x:c>
      <x:c r="D30" s="111" t="str">
        <x:v>81.0.0</x:v>
      </x:c>
      <x:c r="E30" s="112" t="str">
        <x:v>Installation output</x:v>
      </x:c>
      <x:c r="F30" s="112" t="str"/>
    </x:row>
    <x:row r="31" ht="15" hidden="0" customHeight="1">
      <x:c r="A31" s="113" t="str">
        <x:v>Support dependency</x:v>
      </x:c>
      <x:c r="B31" s="110" t="str">
        <x:v>NetworkX</x:v>
      </x:c>
      <x:c r="C31" s="111" t="str">
        <x:v>3.6.1</x:v>
      </x:c>
      <x:c r="D31" s="111" t="str">
        <x:v>3.6.1</x:v>
      </x:c>
      <x:c r="E31" s="112" t="str">
        <x:v>Installation output</x:v>
      </x:c>
      <x:c r="F31" s="112" t="str"/>
    </x:row>
    <x:row r="32" ht="15" hidden="0" customHeight="1">
      <x:c r="A32" s="129" t="str">
        <x:v>Support dependency</x:v>
      </x:c>
      <x:c r="B32" s="126" t="str">
        <x:v>six</x:v>
      </x:c>
      <x:c r="C32" s="127" t="str">
        <x:v>1.17.0</x:v>
      </x:c>
      <x:c r="D32" s="127" t="str">
        <x:v>1.17.0</x:v>
      </x:c>
      <x:c r="E32" s="128" t="str">
        <x:v>Installation output</x:v>
      </x:c>
      <x:c r="F32" s="128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44d33d75610420f"/>
  </x:tableParts>
</x:worksheet>
</file>