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65feca936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1b4b887cab4312"/>
    <x:sheet xmlns:r="http://schemas.openxmlformats.org/officeDocument/2006/relationships" name="Raw Data" sheetId="2" r:id="Rb1eb9d0bd5a7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00"/>
    <x:numFmt numFmtId="202" formatCode="0.0%"/>
    <x:numFmt numFmtId="203" formatCode="0.000 &quot;GB&quot;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02124"/>
      <x:name val="Carlito"/>
    </x:font>
    <x:font>
      <x:b/>
      <x:sz val="10"/>
      <x:color rgb="FFFFFFFF"/>
      <x:name val="Carlito"/>
    </x:font>
    <x:font>
      <x:sz val="10"/>
      <x:color rgb="FF202124"/>
      <x:name val="Carlito"/>
    </x:font>
    <x:font>
      <x:b/>
      <x:sz val="10"/>
      <x:color rgb="FF548235"/>
      <x:name val="Carlito"/>
    </x:font>
    <x:font>
      <x:sz val="9"/>
      <x:color rgb="FF44546A"/>
      <x:name val="Carlito"/>
    </x:font>
    <x:font>
      <x:i/>
      <x:sz val="9"/>
      <x:color rgb="FF666666"/>
      <x:name val="Carlito"/>
    </x:font>
    <x:font>
      <x:b/>
      <x:sz val="18"/>
      <x:color rgb="FFFFFFFF"/>
      <x:name val="Carlito"/>
    </x:font>
    <x:font>
      <x:b/>
      <x:sz val="16"/>
      <x:color rgb="FF17365D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4477AA"/>
      </x:patternFill>
    </x:fill>
    <x:fill>
      <x:patternFill patternType="solid">
        <x:fgColor rgb="FFE2F0D9"/>
      </x:patternFill>
    </x:fill>
    <x:fill>
      <x:patternFill patternType="solid">
        <x:fgColor rgb="FFF3F6F8"/>
      </x:patternFill>
    </x:fill>
  </x:fills>
  <x:borders count="13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5" borderId="4" xfId="0" applyNumberFormat="1" applyFont="1" applyFill="1" applyBorder="1" applyAlignment="1">
      <x:alignment horizontal="right" vertical="center"/>
    </x:xf>
    <x:xf numFmtId="0" fontId="4" fillId="5" borderId="5" xfId="0" applyNumberFormat="1" applyFont="1" applyFill="1" applyBorder="1" applyAlignment="1">
      <x:alignment horizontal="right" vertical="center"/>
    </x:xf>
    <x:xf numFmtId="0" fontId="4" fillId="5" borderId="6" xfId="0" applyNumberFormat="1" applyFont="1" applyFill="1" applyBorder="1" applyAlignment="1">
      <x:alignment horizontal="right" vertical="center"/>
    </x:xf>
    <x:xf numFmtId="0" fontId="5" fillId="5" borderId="4" xfId="0" applyNumberFormat="1" applyFont="1" applyFill="1" applyBorder="1" applyAlignment="1">
      <x:alignment horizontal="right" vertical="center"/>
    </x:xf>
    <x:xf numFmtId="0" fontId="5" fillId="5" borderId="5" xfId="0" applyNumberFormat="1" applyFont="1" applyFill="1" applyBorder="1" applyAlignment="1">
      <x:alignment horizontal="right" vertical="center"/>
    </x:xf>
    <x:xf numFmtId="0" fontId="5" fillId="5" borderId="6" xfId="0" applyNumberFormat="1" applyFont="1" applyFill="1" applyBorder="1" applyAlignment="1">
      <x:alignment horizontal="right" vertical="center"/>
    </x:xf>
    <x:xf numFmtId="200" fontId="4" fillId="0" borderId="4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201" fontId="4" fillId="0" borderId="4" xfId="0" applyNumberFormat="1" applyFont="1" applyFill="1" applyBorder="1" applyAlignment="1">
      <x:alignment horizontal="right" vertical="center"/>
    </x:xf>
    <x:xf numFmtId="201" fontId="5" fillId="5" borderId="4" xfId="0" applyNumberFormat="1" applyFont="1" applyFill="1" applyBorder="1" applyAlignment="1">
      <x:alignment horizontal="right" vertical="center"/>
    </x:xf>
    <x:xf numFmtId="201" fontId="4" fillId="0" borderId="5" xfId="0" applyNumberFormat="1" applyFont="1" applyFill="1" applyBorder="1" applyAlignment="1">
      <x:alignment horizontal="right" vertical="center"/>
    </x:xf>
    <x:xf numFmtId="201" fontId="5" fillId="5" borderId="5" xfId="0" applyNumberFormat="1" applyFont="1" applyFill="1" applyBorder="1" applyAlignment="1">
      <x:alignment horizontal="right" vertical="center"/>
    </x:xf>
    <x:xf numFmtId="201" fontId="4" fillId="0" borderId="6" xfId="0" applyNumberFormat="1" applyFont="1" applyFill="1" applyBorder="1" applyAlignment="1">
      <x:alignment horizontal="right" vertical="center"/>
    </x:xf>
    <x:xf numFmtId="201" fontId="5" fillId="5" borderId="6" xfId="0" applyNumberFormat="1" applyFont="1" applyFill="1" applyBorder="1" applyAlignment="1">
      <x:alignment horizontal="right" vertical="center"/>
    </x:xf>
    <x:xf numFmtId="202" fontId="4" fillId="5" borderId="4" xfId="0" applyNumberFormat="1" applyFont="1" applyFill="1" applyBorder="1" applyAlignment="1">
      <x:alignment horizontal="right" vertical="center"/>
    </x:xf>
    <x:xf numFmtId="202" fontId="4" fillId="5" borderId="5" xfId="0" applyNumberFormat="1" applyFont="1" applyFill="1" applyBorder="1" applyAlignment="1">
      <x:alignment horizontal="right" vertical="center"/>
    </x:xf>
    <x:xf numFmtId="202" fontId="4" fillId="5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left"/>
    </x:xf>
    <x:xf numFmtId="0" fontId="8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7" xfId="0" applyNumberFormat="1" applyFont="1" applyFill="1" applyBorder="1"/>
    <x:xf numFmtId="0" fontId="9" fillId="6" borderId="8" xfId="0" applyNumberFormat="1" applyFont="1" applyFill="1" applyBorder="1"/>
    <x:xf numFmtId="0" fontId="9" fillId="6" borderId="9" xfId="0" applyNumberFormat="1" applyFont="1" applyFill="1" applyBorder="1"/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7" xfId="0" applyNumberFormat="1" applyFont="1" applyFill="1" applyBorder="1" applyAlignment="1">
      <x:alignment horizontal="center"/>
    </x:xf>
    <x:xf numFmtId="0" fontId="9" fillId="6" borderId="8" xfId="0" applyNumberFormat="1" applyFont="1" applyFill="1" applyBorder="1" applyAlignment="1">
      <x:alignment horizontal="center"/>
    </x:xf>
    <x:xf numFmtId="0" fontId="9" fillId="6" borderId="9" xfId="0" applyNumberFormat="1" applyFont="1" applyFill="1" applyBorder="1" applyAlignment="1">
      <x:alignment horizontal="center"/>
    </x:xf>
    <x:xf numFmtId="0" fontId="9" fillId="6" borderId="10" xfId="0" applyNumberFormat="1" applyFont="1" applyFill="1" applyBorder="1" applyAlignment="1">
      <x:alignment horizontal="center"/>
    </x:xf>
    <x:xf numFmtId="0" fontId="9" fillId="6" borderId="11" xfId="0" applyNumberFormat="1" applyFont="1" applyFill="1" applyBorder="1" applyAlignment="1">
      <x:alignment horizontal="center"/>
    </x:xf>
    <x:xf numFmtId="0" fontId="9" fillId="6" borderId="12" xfId="0" applyNumberFormat="1" applyFont="1" applyFill="1" applyBorder="1" applyAlignment="1">
      <x:alignment horizontal="center"/>
    </x:xf>
    <x:xf numFmtId="0" fontId="9" fillId="6" borderId="7" xfId="0" applyNumberFormat="1" applyFont="1" applyFill="1" applyBorder="1" applyAlignment="1">
      <x:alignment horizontal="center" vertical="center"/>
    </x:xf>
    <x:xf numFmtId="0" fontId="9" fillId="6" borderId="8" xfId="0" applyNumberFormat="1" applyFont="1" applyFill="1" applyBorder="1" applyAlignment="1">
      <x:alignment horizontal="center" vertical="center"/>
    </x:xf>
    <x:xf numFmtId="0" fontId="9" fillId="6" borderId="9" xfId="0" applyNumberFormat="1" applyFont="1" applyFill="1" applyBorder="1" applyAlignment="1">
      <x:alignment horizontal="center" vertical="center"/>
    </x:xf>
    <x:xf numFmtId="0" fontId="9" fillId="6" borderId="10" xfId="0" applyNumberFormat="1" applyFont="1" applyFill="1" applyBorder="1" applyAlignment="1">
      <x:alignment horizontal="center" vertical="center"/>
    </x:xf>
    <x:xf numFmtId="0" fontId="9" fillId="6" borderId="11" xfId="0" applyNumberFormat="1" applyFont="1" applyFill="1" applyBorder="1" applyAlignment="1">
      <x:alignment horizontal="center" vertical="center"/>
    </x:xf>
    <x:xf numFmtId="0" fontId="9" fillId="6" borderId="12" xfId="0" applyNumberFormat="1" applyFont="1" applyFill="1" applyBorder="1" applyAlignment="1">
      <x:alignment horizontal="center" vertical="center"/>
    </x:xf>
    <x:xf numFmtId="203" fontId="9" fillId="6" borderId="8" xfId="0" applyNumberFormat="1" applyFont="1" applyFill="1" applyBorder="1" applyAlignment="1">
      <x:alignment horizontal="center" vertical="center"/>
    </x:xf>
    <x:xf numFmtId="203" fontId="9" fillId="6" borderId="11" xfId="0" applyNumberFormat="1" applyFont="1" applyFill="1" applyBorder="1" applyAlignment="1">
      <x:alignment horizontal="center" vertical="center"/>
    </x:xf>
    <x:xf numFmtId="203" fontId="9" fillId="6" borderId="9" xfId="0" applyNumberFormat="1" applyFont="1" applyFill="1" applyBorder="1" applyAlignment="1">
      <x:alignment horizontal="center" vertical="center"/>
    </x:xf>
    <x:xf numFmtId="203" fontId="9" fillId="6" borderId="12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97c74c0ce4e66" /><Relationship Type="http://schemas.openxmlformats.org/officeDocument/2006/relationships/theme" Target="/xl/theme/theme1.xml" Id="R8ad1f7c7b077474f" /><Relationship Type="http://schemas.openxmlformats.org/officeDocument/2006/relationships/sharedStrings" Target="/xl/sharedStrings.xml" Id="R07288f2b49dc48c0" /><Relationship Type="http://schemas.openxmlformats.org/officeDocument/2006/relationships/worksheet" Target="/xl/worksheets/sheet1.xml" Id="Rd11b4b887cab4312" /><Relationship Type="http://schemas.openxmlformats.org/officeDocument/2006/relationships/worksheet" Target="/xl/worksheets/sheet2.xml" Id="Rb1eb9d0bd5a74055" /></Relationships>
</file>

<file path=xl/tables/table1.xml><?xml version="1.0" encoding="utf-8"?>
<x:table xmlns:x="http://schemas.openxmlformats.org/spreadsheetml/2006/main" id="1" name="ERIMemoryRawTable" displayName="ERIMemoryRawTable" ref="A4:I12" headerRowCount="1" totalsRowCount="0" totalsRowShown="0">
  <x:autoFilter ref="A4:I12"/>
  <x:tableColumns count="9">
    <x:tableColumn id="1" name="System"/>
    <x:tableColumn id="2" name="H2O molecules"/>
    <x:tableColumn id="3" name="2c2e ERI (GB)"/>
    <x:tableColumn id="4" name="Screened 3c2e ERI (GB)"/>
    <x:tableColumn id="5" name="Schwarz index array (GB)"/>
    <x:tableColumn id="6" name="ERI total (GB)"/>
    <x:tableColumn id="7" name="Storage incl. indices (GB)"/>
    <x:tableColumn id="8" name="3c2e share of ERI total"/>
    <x:tableColumn id="9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78d74d4e3e4a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7" hidden="0" customWidth="1"/>
    <x:col min="4" max="4" width="22" hidden="0" customWidth="1"/>
    <x:col min="5" max="5" width="17" hidden="0" customWidth="1"/>
    <x:col min="6" max="6" width="23" hidden="0" customWidth="1"/>
  </x:cols>
  <x:sheetData>
    <x:row r="1" ht="34" customHeight="1">
      <x:c r="A1" s="62" t="str">
        <x:v>PyFock CAO ERI Memory Requirements</x:v>
      </x:c>
      <x:c r="B1" s="62"/>
      <x:c r="C1" s="62"/>
      <x:c r="D1" s="62"/>
      <x:c r="E1" s="62"/>
      <x:c r="F1" s="62"/>
    </x:row>
    <x:row r="2" ht="24" customHeight="1">
      <x:c r="A2" s="63" t="str">
        <x:v>def2-SVP / def2-universal-jfit | Schwarz threshold 1e-9 | decimal GB</x:v>
      </x:c>
      <x:c r="B2" s="63"/>
      <x:c r="C2" s="63"/>
      <x:c r="D2" s="63"/>
      <x:c r="E2" s="63"/>
      <x:c r="F2" s="63"/>
    </x:row>
    <x:row r="4">
      <x:c r="A4" s="65" t="str">
        <x:v>Largest system</x:v>
      </x:c>
      <x:c r="B4" s="65"/>
      <x:c r="C4" s="65" t="str">
        <x:v>ERI total</x:v>
      </x:c>
      <x:c r="D4" s="65"/>
      <x:c r="E4" s="65" t="str">
        <x:v>Including indices</x:v>
      </x:c>
      <x:c r="F4" s="65"/>
    </x:row>
    <x:row r="5">
      <x:c r="A5" s="79" t="str">
        <x:f>'Raw Data'!A12</x:f>
        <x:v>water_139</x:v>
      </x:c>
      <x:c r="B5" s="80"/>
      <x:c r="C5" s="85" t="n">
        <x:f>'Raw Data'!F12</x:f>
        <x:v>57.427486376</x:v>
      </x:c>
      <x:c r="D5" s="85"/>
      <x:c r="E5" s="85" t="n">
        <x:f>'Raw Data'!G12</x:f>
        <x:v>57.572435584</x:v>
      </x:c>
      <x:c r="F5" s="87"/>
    </x:row>
    <x:row r="6">
      <x:c r="A6" s="82"/>
      <x:c r="B6" s="83"/>
      <x:c r="C6" s="86"/>
      <x:c r="D6" s="86"/>
      <x:c r="E6" s="86"/>
      <x:c r="F6" s="88"/>
    </x:row>
    <x:row r="8" ht="34" customHeight="1">
      <x:c r="A8" s="20" t="str">
        <x:v>System</x:v>
      </x:c>
      <x:c r="B8" s="21" t="str">
        <x:v>H2O molecules</x:v>
      </x:c>
      <x:c r="C8" s="21" t="str">
        <x:v>2c2e ERI (GB)</x:v>
      </x:c>
      <x:c r="D8" s="21" t="str">
        <x:v>Screened 3c2e ERI (GB)</x:v>
      </x:c>
      <x:c r="E8" s="21" t="str">
        <x:v>ERI total (GB)</x:v>
      </x:c>
      <x:c r="F8" s="22" t="str">
        <x:v>Storage incl. indices (GB)</x:v>
      </x:c>
    </x:row>
    <x:row r="9" ht="22" customHeight="1">
      <x:c r="A9" s="30" t="str">
        <x:f>'Raw Data'!A5</x:f>
        <x:v>water_5</x:v>
      </x:c>
      <x:c r="B9" s="42" t="n">
        <x:f>'Raw Data'!B5</x:f>
        <x:v>5</x:v>
      </x:c>
      <x:c r="C9" s="45" t="n">
        <x:f>'Raw Data'!C5</x:f>
        <x:v>0.001445</x:v>
      </x:c>
      <x:c r="D9" s="45" t="n">
        <x:f>'Raw Data'!D5</x:f>
        <x:v>0.01980976</x:v>
      </x:c>
      <x:c r="E9" s="46" t="n">
        <x:f>'Raw Data'!F5</x:f>
        <x:v>0.021254759999999998</x:v>
      </x:c>
      <x:c r="F9" s="46" t="n">
        <x:f>'Raw Data'!G5</x:f>
        <x:v>0.021443768</x:v>
      </x:c>
    </x:row>
    <x:row r="10" ht="22" customHeight="1">
      <x:c r="A10" s="31" t="str">
        <x:f>'Raw Data'!A6</x:f>
        <x:v>water_10</x:v>
      </x:c>
      <x:c r="B10" s="43" t="n">
        <x:f>'Raw Data'!B6</x:f>
        <x:v>10</x:v>
      </x:c>
      <x:c r="C10" s="47" t="n">
        <x:f>'Raw Data'!C6</x:f>
        <x:v>0.00578</x:v>
      </x:c>
      <x:c r="D10" s="47" t="n">
        <x:f>'Raw Data'!D6</x:f>
        <x:v>0.12046104</x:v>
      </x:c>
      <x:c r="E10" s="48" t="n">
        <x:f>'Raw Data'!F6</x:f>
        <x:v>0.12624104</x:v>
      </x:c>
      <x:c r="F10" s="48" t="n">
        <x:f>'Raw Data'!G6</x:f>
        <x:v>0.126994048</x:v>
      </x:c>
    </x:row>
    <x:row r="11" ht="22" customHeight="1">
      <x:c r="A11" s="31" t="str">
        <x:f>'Raw Data'!A7</x:f>
        <x:v>water_20</x:v>
      </x:c>
      <x:c r="B11" s="43" t="n">
        <x:f>'Raw Data'!B7</x:f>
        <x:v>20</x:v>
      </x:c>
      <x:c r="C11" s="47" t="n">
        <x:f>'Raw Data'!C7</x:f>
        <x:v>0.02312</x:v>
      </x:c>
      <x:c r="D11" s="47" t="n">
        <x:f>'Raw Data'!D7</x:f>
        <x:v>0.742276</x:v>
      </x:c>
      <x:c r="E11" s="48" t="n">
        <x:f>'Raw Data'!F7</x:f>
        <x:v>0.7653960000000001</x:v>
      </x:c>
      <x:c r="F11" s="48" t="n">
        <x:f>'Raw Data'!G7</x:f>
        <x:v>0.768402008</x:v>
      </x:c>
    </x:row>
    <x:row r="12" ht="22" customHeight="1">
      <x:c r="A12" s="31" t="str">
        <x:f>'Raw Data'!A8</x:f>
        <x:v>water_32</x:v>
      </x:c>
      <x:c r="B12" s="43" t="n">
        <x:f>'Raw Data'!B8</x:f>
        <x:v>32</x:v>
      </x:c>
      <x:c r="C12" s="47" t="n">
        <x:f>'Raw Data'!C8</x:f>
        <x:v>0.0591872</x:v>
      </x:c>
      <x:c r="D12" s="47" t="n">
        <x:f>'Raw Data'!D8</x:f>
        <x:v>2.247985152</x:v>
      </x:c>
      <x:c r="E12" s="48" t="n">
        <x:f>'Raw Data'!F8</x:f>
        <x:v>2.3071723520000003</x:v>
      </x:c>
      <x:c r="F12" s="48" t="n">
        <x:f>'Raw Data'!G8</x:f>
        <x:v>2.3148619600000004</x:v>
      </x:c>
    </x:row>
    <x:row r="13" ht="22" customHeight="1">
      <x:c r="A13" s="31" t="str">
        <x:f>'Raw Data'!A9</x:f>
        <x:v>water_47</x:v>
      </x:c>
      <x:c r="B13" s="43" t="n">
        <x:f>'Raw Data'!B9</x:f>
        <x:v>47</x:v>
      </x:c>
      <x:c r="C13" s="47" t="n">
        <x:f>'Raw Data'!C9</x:f>
        <x:v>0.1276802</x:v>
      </x:c>
      <x:c r="D13" s="47" t="n">
        <x:f>'Raw Data'!D9</x:f>
        <x:v>5.39713596</x:v>
      </x:c>
      <x:c r="E13" s="48" t="n">
        <x:f>'Raw Data'!F9</x:f>
        <x:v>5.52481616</x:v>
      </x:c>
      <x:c r="F13" s="48" t="n">
        <x:f>'Raw Data'!G9</x:f>
        <x:v>5.541397768</x:v>
      </x:c>
    </x:row>
    <x:row r="14" ht="22" customHeight="1">
      <x:c r="A14" s="31" t="str">
        <x:f>'Raw Data'!A10</x:f>
        <x:v>water_76</x:v>
      </x:c>
      <x:c r="B14" s="43" t="n">
        <x:f>'Raw Data'!B10</x:f>
        <x:v>76</x:v>
      </x:c>
      <x:c r="C14" s="47" t="n">
        <x:f>'Raw Data'!C10</x:f>
        <x:v>0.3338528</x:v>
      </x:c>
      <x:c r="D14" s="47" t="n">
        <x:f>'Raw Data'!D10</x:f>
        <x:v>15.421924864</x:v>
      </x:c>
      <x:c r="E14" s="48" t="n">
        <x:f>'Raw Data'!F10</x:f>
        <x:v>15.755777664</x:v>
      </x:c>
      <x:c r="F14" s="48" t="n">
        <x:f>'Raw Data'!G10</x:f>
        <x:v>15.799120472</x:v>
      </x:c>
    </x:row>
    <x:row r="15" ht="22" customHeight="1">
      <x:c r="A15" s="31" t="str">
        <x:f>'Raw Data'!A11</x:f>
        <x:v>water_100</x:v>
      </x:c>
      <x:c r="B15" s="43" t="n">
        <x:f>'Raw Data'!B11</x:f>
        <x:v>100</x:v>
      </x:c>
      <x:c r="C15" s="47" t="n">
        <x:f>'Raw Data'!C11</x:f>
        <x:v>0.578</x:v>
      </x:c>
      <x:c r="D15" s="47" t="n">
        <x:f>'Raw Data'!D11</x:f>
        <x:v>28.2333344</x:v>
      </x:c>
      <x:c r="E15" s="48" t="n">
        <x:f>'Raw Data'!F11</x:f>
        <x:v>28.8113344</x:v>
      </x:c>
      <x:c r="F15" s="48" t="n">
        <x:f>'Raw Data'!G11</x:f>
        <x:v>28.886364408</x:v>
      </x:c>
    </x:row>
    <x:row r="16" ht="22" customHeight="1">
      <x:c r="A16" s="32" t="str">
        <x:f>'Raw Data'!A12</x:f>
        <x:v>water_139</x:v>
      </x:c>
      <x:c r="B16" s="44" t="n">
        <x:f>'Raw Data'!B12</x:f>
        <x:v>139</x:v>
      </x:c>
      <x:c r="C16" s="49" t="n">
        <x:f>'Raw Data'!C12</x:f>
        <x:v>1.1167538</x:v>
      </x:c>
      <x:c r="D16" s="49" t="n">
        <x:f>'Raw Data'!D12</x:f>
        <x:v>56.310732576</x:v>
      </x:c>
      <x:c r="E16" s="50" t="n">
        <x:f>'Raw Data'!F12</x:f>
        <x:v>57.427486376</x:v>
      </x:c>
      <x:c r="F16" s="50" t="n">
        <x:f>'Raw Data'!G12</x:f>
        <x:v>57.572435584</x:v>
      </x:c>
    </x:row>
    <x:row r="18">
      <x:c r="A18" s="89" t="str">
        <x:v>Interpretation</x:v>
      </x:c>
      <x:c r="B18" s="89"/>
      <x:c r="C18" s="89"/>
      <x:c r="D18" s="89"/>
      <x:c r="E18" s="89"/>
      <x:c r="F18" s="89"/>
    </x:row>
    <x:row r="19" ht="26" customHeight="1">
      <x:c r="A19" s="92" t="str">
        <x:v>The stored ERI requirement grows from 0.021 GB for (H2O)5 to 57.427 GB for (H2O)139. The 3-center screened ERIs dominate the storage throughout; the permanent Schwarz-index array adds only a small overhead.</x:v>
      </x:c>
      <x:c r="B19" s="92"/>
      <x:c r="C19" s="92"/>
      <x:c r="D19" s="92"/>
      <x:c r="E19" s="92"/>
      <x:c r="F19" s="92"/>
    </x:row>
    <x:row r="20" ht="26" customHeight="1">
      <x:c r="A20" s="92"/>
      <x:c r="B20" s="92"/>
      <x:c r="C20" s="92"/>
      <x:c r="D20" s="92"/>
      <x:c r="E20" s="92"/>
      <x:c r="F20" s="92"/>
    </x:row>
    <x:row r="22" ht="30" customHeight="1">
      <x:c r="A22" s="59" t="str">
        <x:v>Source: Raw Data sheet, transcribed from the benchmark output in this directory. ERI total excludes AO-grid storage and all other SCF arrays.</x:v>
      </x:c>
      <x:c r="B22" s="59"/>
      <x:c r="C22" s="59"/>
      <x:c r="D22" s="59"/>
      <x:c r="E22" s="59"/>
      <x:c r="F22" s="59"/>
    </x:row>
  </x:sheetData>
  <x:mergeCells>
    <x:mergeCell ref="A1:F1"/>
    <x:mergeCell ref="A2:F2"/>
    <x:mergeCell ref="A4:B4"/>
    <x:mergeCell ref="C4:D4"/>
    <x:mergeCell ref="E4:F4"/>
    <x:mergeCell ref="A5:B6"/>
    <x:mergeCell ref="C5:D6"/>
    <x:mergeCell ref="E5:F6"/>
    <x:mergeCell ref="A18:F18"/>
    <x:mergeCell ref="A19:F20"/>
    <x:mergeCell ref="A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5" hidden="0" customWidth="1"/>
    <x:col min="4" max="4" width="21" hidden="0" customWidth="1"/>
    <x:col min="5" max="5" width="20" hidden="0" customWidth="1"/>
    <x:col min="6" max="6" width="16" hidden="0" customWidth="1"/>
    <x:col min="7" max="7" width="22" hidden="0" customWidth="1"/>
    <x:col min="8" max="8" width="21" hidden="0" customWidth="1"/>
    <x:col min="9" max="9" width="13" hidden="0" customWidth="1"/>
  </x:cols>
  <x:sheetData>
    <x:row r="1" ht="30" customHeight="1">
      <x:c r="A1" s="4" t="str">
        <x:v>CAO ERI storage benchmark - Schwarz threshold 1e-9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8" t="str">
        <x:v>Raw values transcribed from the benchmark output. Derived storage columns are formulas and use decimal GB, matching the program output.</x:v>
      </x:c>
      <x:c r="B2" s="8"/>
      <x:c r="C2" s="8"/>
      <x:c r="D2" s="8"/>
      <x:c r="E2" s="8"/>
      <x:c r="F2" s="8"/>
      <x:c r="G2" s="8"/>
      <x:c r="H2" s="8"/>
      <x:c r="I2" s="8"/>
    </x:row>
    <x:row r="4" ht="34" customHeight="1">
      <x:c r="A4" s="20" t="str">
        <x:v>System</x:v>
      </x:c>
      <x:c r="B4" s="21" t="str">
        <x:v>H2O molecules</x:v>
      </x:c>
      <x:c r="C4" s="21" t="str">
        <x:v>2c2e ERI (GB)</x:v>
      </x:c>
      <x:c r="D4" s="21" t="str">
        <x:v>Screened 3c2e ERI (GB)</x:v>
      </x:c>
      <x:c r="E4" s="21" t="str">
        <x:v>Schwarz index array (GB)</x:v>
      </x:c>
      <x:c r="F4" s="21" t="str">
        <x:v>ERI total (GB)</x:v>
      </x:c>
      <x:c r="G4" s="21" t="str">
        <x:v>Storage incl. indices (GB)</x:v>
      </x:c>
      <x:c r="H4" s="21" t="str">
        <x:v>3c2e share of ERI total</x:v>
      </x:c>
      <x:c r="I4" s="22" t="str">
        <x:v>Source</x:v>
      </x:c>
    </x:row>
    <x:row r="5" ht="22" customHeight="1">
      <x:c r="A5" s="30" t="str">
        <x:v>water_5</x:v>
      </x:c>
      <x:c r="B5" s="42" t="n">
        <x:v>5</x:v>
      </x:c>
      <x:c r="C5" s="45" t="n">
        <x:v>0.001445</x:v>
      </x:c>
      <x:c r="D5" s="45" t="n">
        <x:v>0.01980976</x:v>
      </x:c>
      <x:c r="E5" s="45" t="n">
        <x:v>0.000189008</x:v>
      </x:c>
      <x:c r="F5" s="46" t="n">
        <x:f>C5+D5</x:f>
        <x:v>0.021254759999999998</x:v>
      </x:c>
      <x:c r="G5" s="46" t="n">
        <x:f>F5+E5</x:f>
        <x:v>0.021443768</x:v>
      </x:c>
      <x:c r="H5" s="51" t="n">
        <x:f>D5/F5</x:f>
        <x:v>0.9320152285887962</x:v>
      </x:c>
      <x:c r="I5" s="27" t="str">
        <x:v>output</x:v>
      </x:c>
    </x:row>
    <x:row r="6" ht="22" customHeight="1">
      <x:c r="A6" s="31" t="str">
        <x:v>water_10</x:v>
      </x:c>
      <x:c r="B6" s="43" t="n">
        <x:v>10</x:v>
      </x:c>
      <x:c r="C6" s="47" t="n">
        <x:v>0.00578</x:v>
      </x:c>
      <x:c r="D6" s="47" t="n">
        <x:v>0.12046104</x:v>
      </x:c>
      <x:c r="E6" s="47" t="n">
        <x:v>0.000753008</x:v>
      </x:c>
      <x:c r="F6" s="48" t="n">
        <x:f>C6+D6</x:f>
        <x:v>0.12624104</x:v>
      </x:c>
      <x:c r="G6" s="48" t="n">
        <x:f>F6+E6</x:f>
        <x:v>0.126994048</x:v>
      </x:c>
      <x:c r="H6" s="52" t="n">
        <x:f>D6/F6</x:f>
        <x:v>0.9542145723767802</x:v>
      </x:c>
      <x:c r="I6" s="28" t="str">
        <x:v>output</x:v>
      </x:c>
    </x:row>
    <x:row r="7" ht="22" customHeight="1">
      <x:c r="A7" s="31" t="str">
        <x:v>water_20</x:v>
      </x:c>
      <x:c r="B7" s="43" t="n">
        <x:v>20</x:v>
      </x:c>
      <x:c r="C7" s="47" t="n">
        <x:v>0.02312</x:v>
      </x:c>
      <x:c r="D7" s="47" t="n">
        <x:v>0.742276</x:v>
      </x:c>
      <x:c r="E7" s="47" t="n">
        <x:v>0.003006008</x:v>
      </x:c>
      <x:c r="F7" s="48" t="n">
        <x:f>C7+D7</x:f>
        <x:v>0.7653960000000001</x:v>
      </x:c>
      <x:c r="G7" s="48" t="n">
        <x:f>F7+E7</x:f>
        <x:v>0.768402008</x:v>
      </x:c>
      <x:c r="H7" s="52" t="n">
        <x:f>D7/F7</x:f>
        <x:v>0.9697934141281114</x:v>
      </x:c>
      <x:c r="I7" s="28" t="str">
        <x:v>output</x:v>
      </x:c>
    </x:row>
    <x:row r="8" ht="22" customHeight="1">
      <x:c r="A8" s="31" t="str">
        <x:v>water_32</x:v>
      </x:c>
      <x:c r="B8" s="43" t="n">
        <x:v>32</x:v>
      </x:c>
      <x:c r="C8" s="47" t="n">
        <x:v>0.0591872</x:v>
      </x:c>
      <x:c r="D8" s="47" t="n">
        <x:v>2.247985152</x:v>
      </x:c>
      <x:c r="E8" s="47" t="n">
        <x:v>0.007689608</x:v>
      </x:c>
      <x:c r="F8" s="48" t="n">
        <x:f>C8+D8</x:f>
        <x:v>2.3071723520000003</x:v>
      </x:c>
      <x:c r="G8" s="48" t="n">
        <x:f>F8+E8</x:f>
        <x:v>2.3148619600000004</x:v>
      </x:c>
      <x:c r="H8" s="52" t="n">
        <x:f>D8/F8</x:f>
        <x:v>0.9743464332221677</x:v>
      </x:c>
      <x:c r="I8" s="28" t="str">
        <x:v>output</x:v>
      </x:c>
    </x:row>
    <x:row r="9" ht="22" customHeight="1">
      <x:c r="A9" s="31" t="str">
        <x:v>water_47</x:v>
      </x:c>
      <x:c r="B9" s="43" t="n">
        <x:v>47</x:v>
      </x:c>
      <x:c r="C9" s="47" t="n">
        <x:v>0.1276802</x:v>
      </x:c>
      <x:c r="D9" s="47" t="n">
        <x:v>5.39713596</x:v>
      </x:c>
      <x:c r="E9" s="47" t="n">
        <x:v>0.016581608</x:v>
      </x:c>
      <x:c r="F9" s="48" t="n">
        <x:f>C9+D9</x:f>
        <x:v>5.52481616</x:v>
      </x:c>
      <x:c r="G9" s="48" t="n">
        <x:f>F9+E9</x:f>
        <x:v>5.541397768</x:v>
      </x:c>
      <x:c r="H9" s="52" t="n">
        <x:f>D9/F9</x:f>
        <x:v>0.9768896925612814</x:v>
      </x:c>
      <x:c r="I9" s="28" t="str">
        <x:v>output</x:v>
      </x:c>
    </x:row>
    <x:row r="10" ht="22" customHeight="1">
      <x:c r="A10" s="31" t="str">
        <x:v>water_76</x:v>
      </x:c>
      <x:c r="B10" s="43" t="n">
        <x:v>76</x:v>
      </x:c>
      <x:c r="C10" s="47" t="n">
        <x:v>0.3338528</x:v>
      </x:c>
      <x:c r="D10" s="47" t="n">
        <x:v>15.421924864</x:v>
      </x:c>
      <x:c r="E10" s="47" t="n">
        <x:v>0.043342808</x:v>
      </x:c>
      <x:c r="F10" s="48" t="n">
        <x:f>C10+D10</x:f>
        <x:v>15.755777664</x:v>
      </x:c>
      <x:c r="G10" s="48" t="n">
        <x:f>F10+E10</x:f>
        <x:v>15.799120472</x:v>
      </x:c>
      <x:c r="H10" s="52" t="n">
        <x:f>D10/F10</x:f>
        <x:v>0.9788107697938127</x:v>
      </x:c>
      <x:c r="I10" s="28" t="str">
        <x:v>output</x:v>
      </x:c>
    </x:row>
    <x:row r="11" ht="22" customHeight="1">
      <x:c r="A11" s="31" t="str">
        <x:v>water_100</x:v>
      </x:c>
      <x:c r="B11" s="43" t="n">
        <x:v>100</x:v>
      </x:c>
      <x:c r="C11" s="47" t="n">
        <x:v>0.578</x:v>
      </x:c>
      <x:c r="D11" s="47" t="n">
        <x:v>28.2333344</x:v>
      </x:c>
      <x:c r="E11" s="47" t="n">
        <x:v>0.075030008</x:v>
      </x:c>
      <x:c r="F11" s="48" t="n">
        <x:f>C11+D11</x:f>
        <x:v>28.8113344</x:v>
      </x:c>
      <x:c r="G11" s="48" t="n">
        <x:f>F11+E11</x:f>
        <x:v>28.886364408</x:v>
      </x:c>
      <x:c r="H11" s="52" t="n">
        <x:f>D11/F11</x:f>
        <x:v>0.979938450889661</x:v>
      </x:c>
      <x:c r="I11" s="28" t="str">
        <x:v>output</x:v>
      </x:c>
    </x:row>
    <x:row r="12" ht="22" customHeight="1">
      <x:c r="A12" s="32" t="str">
        <x:v>water_139</x:v>
      </x:c>
      <x:c r="B12" s="44" t="n">
        <x:v>139</x:v>
      </x:c>
      <x:c r="C12" s="49" t="n">
        <x:v>1.1167538</x:v>
      </x:c>
      <x:c r="D12" s="49" t="n">
        <x:v>56.310732576</x:v>
      </x:c>
      <x:c r="E12" s="49" t="n">
        <x:v>0.144949208</x:v>
      </x:c>
      <x:c r="F12" s="50" t="n">
        <x:f>C12+D12</x:f>
        <x:v>57.427486376</x:v>
      </x:c>
      <x:c r="G12" s="50" t="n">
        <x:f>F12+E12</x:f>
        <x:v>57.572435584</x:v>
      </x:c>
      <x:c r="H12" s="53" t="n">
        <x:f>D12/F12</x:f>
        <x:v>0.9805536708904831</x:v>
      </x:c>
      <x:c r="I12" s="29" t="str">
        <x:v>output</x:v>
      </x:c>
    </x:row>
    <x:row r="14" ht="34" customHeight="1">
      <x:c r="A14" s="57" t="str">
        <x:v>Definition: ERI total = stored 2-center two-electron ERIs + screened 3-center two-electron ERIs. Storage incl. indices additionally includes the permanent Schwarz-significant-index array.</x:v>
      </x:c>
      <x:c r="B14" s="57"/>
      <x:c r="C14" s="57"/>
      <x:c r="D14" s="57"/>
      <x:c r="E14" s="57"/>
      <x:c r="F14" s="57"/>
      <x:c r="G14" s="57"/>
      <x:c r="H14" s="57"/>
      <x:c r="I14" s="57"/>
    </x:row>
    <x:row r="16" ht="30" customHeight="1">
      <x:c r="A16" s="59" t="str">
        <x:v>Source: output in this directory; benchmark_DFT_LDA_DF.py; CAO basis, threshold_schwarz=1e-9, strict_schwarz=False, def2-SVP/def2-universal-jfit.</x:v>
      </x:c>
      <x:c r="B16" s="59"/>
      <x:c r="C16" s="59"/>
      <x:c r="D16" s="59"/>
      <x:c r="E16" s="59"/>
      <x:c r="F16" s="59"/>
      <x:c r="G16" s="59"/>
      <x:c r="H16" s="59"/>
      <x:c r="I16" s="59"/>
    </x:row>
  </x:sheetData>
  <x:mergeCells>
    <x:mergeCell ref="A1:I1"/>
    <x:mergeCell ref="A2:I2"/>
    <x:mergeCell ref="A14:I14"/>
    <x:mergeCell ref="A16:I16"/>
  </x:mergeCells>
  <x:pageMargins left="0.7" right="0.7" top="0.75" bottom="0.75" header="0.3" footer="0.3"/>
  <x:tableParts count="1">
    <x:tablePart xmlns:r="http://schemas.openxmlformats.org/officeDocument/2006/relationships" r:id="Ree78d74d4e3e4a79"/>
  </x:tableParts>
</x:worksheet>
</file>