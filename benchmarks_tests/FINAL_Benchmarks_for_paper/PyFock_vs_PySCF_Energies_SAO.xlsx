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/Documents/PyFock/benchmarks_tests/FINAL_Benchmarks_for_paper/"/>
    </mc:Choice>
  </mc:AlternateContent>
  <xr:revisionPtr revIDLastSave="0" documentId="13_ncr:1_{CA15FDD6-2240-4643-BFCD-BC660EAB77EE}" xr6:coauthVersionLast="47" xr6:coauthVersionMax="47" xr10:uidLastSave="{00000000-0000-0000-0000-000000000000}"/>
  <bookViews>
    <workbookView xWindow="0" yWindow="760" windowWidth="19500" windowHeight="16880" xr2:uid="{ED360EC6-6B2F-AC47-964C-320CA8DAFD70}"/>
  </bookViews>
  <sheets>
    <sheet name="Gen_Organic_M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30" i="1"/>
  <c r="G29" i="1"/>
  <c r="G28" i="1"/>
  <c r="G27" i="1"/>
  <c r="G26" i="1"/>
  <c r="G20" i="1"/>
  <c r="G19" i="1"/>
  <c r="G18" i="1"/>
  <c r="G17" i="1"/>
  <c r="G16" i="1"/>
  <c r="G15" i="1"/>
  <c r="G5" i="1"/>
  <c r="G6" i="1"/>
  <c r="G7" i="1"/>
  <c r="G8" i="1"/>
  <c r="G9" i="1"/>
  <c r="G4" i="1"/>
</calcChain>
</file>

<file path=xl/sharedStrings.xml><?xml version="1.0" encoding="utf-8"?>
<sst xmlns="http://schemas.openxmlformats.org/spreadsheetml/2006/main" count="46" uniqueCount="18">
  <si>
    <t>PyFock vs PySCF Energies of Organic Molecules</t>
  </si>
  <si>
    <t>Molecule</t>
  </si>
  <si>
    <t>No. of Atoms</t>
  </si>
  <si>
    <t>Energy (Ha) from PySCF</t>
  </si>
  <si>
    <t>Iterations taken by PySCF</t>
  </si>
  <si>
    <t>Energy (Ha) from PyFock</t>
  </si>
  <si>
    <t>Iterations taken by PyFock</t>
  </si>
  <si>
    <t>def2-SVP</t>
  </si>
  <si>
    <t>Energy Difference (Ha) between PySCF and PyFock</t>
  </si>
  <si>
    <t>Caffeine</t>
  </si>
  <si>
    <t>Serotonin</t>
  </si>
  <si>
    <t>Cholesterol</t>
  </si>
  <si>
    <t>Taxol</t>
  </si>
  <si>
    <t>Valinomycin</t>
  </si>
  <si>
    <t>Olestra</t>
  </si>
  <si>
    <t>def2-TZVP</t>
  </si>
  <si>
    <t>def2-QZVP</t>
  </si>
  <si>
    <t>Nbfs 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</si>
</sst>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0.0000E+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F722-9114-464F-88BF-564992E91791}">
  <dimension ref="A1:H31"/>
  <sheetViews>
    <sheetView tabSelected="1" topLeftCell="D1" workbookViewId="0">
      <selection activeCell="H32" sqref="H32"/>
    </sheetView>
  </sheetViews>
  <sheetFormatPr baseColWidth="10" defaultRowHeight="16" x14ac:dyDescent="0.2"/>
  <cols>
    <col min="2" max="2" width="13.1640625" customWidth="1"/>
    <col min="3" max="3" width="20.33203125" customWidth="1"/>
    <col min="4" max="4" width="22" customWidth="1"/>
    <col min="5" max="5" width="21.5" customWidth="1"/>
    <col min="6" max="6" width="23.33203125" customWidth="1"/>
    <col min="7" max="7" width="42.6640625" customWidth="1"/>
  </cols>
  <sheetData>
    <row r="1" spans="1:8" x14ac:dyDescent="0.2">
      <c r="A1" s="1" t="s">
        <v>0</v>
      </c>
    </row>
    <row r="2" spans="1:8" x14ac:dyDescent="0.2">
      <c r="A2" s="1" t="s">
        <v>7</v>
      </c>
    </row>
    <row r="3" spans="1: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8</v>
      </c>
      <c r="H3" s="1" t="s">
        <v>17</v>
      </c>
    </row>
    <row r="4" spans="1:8" x14ac:dyDescent="0.2">
      <c r="A4" s="2" t="s">
        <v>9</v>
      </c>
      <c r="B4" s="3">
        <v>24</v>
      </c>
      <c r="C4" s="4">
        <v>-679.09729699796503</v>
      </c>
      <c r="D4" s="3">
        <v>13</v>
      </c>
      <c r="E4" s="4">
        <v>-679.09729717296295</v>
      </c>
      <c r="F4" s="3">
        <v>14</v>
      </c>
      <c r="G4" s="5">
        <f>E4-C4</f>
        <v>-1.7499792193120811E-7</v>
      </c>
      <c r="H4">
        <v>246</v>
      </c>
    </row>
    <row r="5" spans="1:8" x14ac:dyDescent="0.2">
      <c r="A5" s="2" t="s">
        <v>10</v>
      </c>
      <c r="B5" s="3">
        <v>25</v>
      </c>
      <c r="C5" s="4">
        <v>-571.85106992984197</v>
      </c>
      <c r="D5" s="3">
        <v>13</v>
      </c>
      <c r="E5" s="4">
        <v>-571.851069967218</v>
      </c>
      <c r="F5" s="3">
        <v>12</v>
      </c>
      <c r="G5" s="5">
        <f t="shared" ref="G5:G9" si="0">E5-C5</f>
        <v>-3.7376025829871651E-8</v>
      </c>
      <c r="H5">
        <v>242</v>
      </c>
    </row>
    <row r="6" spans="1:8" x14ac:dyDescent="0.2">
      <c r="A6" s="2" t="s">
        <v>11</v>
      </c>
      <c r="B6" s="3">
        <v>75</v>
      </c>
      <c r="C6" s="4">
        <v>-1129.3867782024399</v>
      </c>
      <c r="D6" s="3">
        <v>12</v>
      </c>
      <c r="E6" s="4">
        <v>-1129.3867783436499</v>
      </c>
      <c r="F6" s="3">
        <v>13</v>
      </c>
      <c r="G6" s="5">
        <f t="shared" si="0"/>
        <v>-1.4120996638666838E-7</v>
      </c>
      <c r="H6">
        <v>622</v>
      </c>
    </row>
    <row r="7" spans="1:8" x14ac:dyDescent="0.2">
      <c r="A7" s="2" t="s">
        <v>12</v>
      </c>
      <c r="B7" s="3">
        <v>110</v>
      </c>
      <c r="C7" s="4">
        <v>-2921.6364342469201</v>
      </c>
      <c r="D7" s="3">
        <v>16</v>
      </c>
      <c r="E7" s="4">
        <v>-2921.6364343902001</v>
      </c>
      <c r="F7" s="3">
        <v>18</v>
      </c>
      <c r="G7" s="5">
        <f t="shared" si="0"/>
        <v>-1.4327997632790357E-7</v>
      </c>
      <c r="H7">
        <v>1099</v>
      </c>
    </row>
    <row r="8" spans="1:8" x14ac:dyDescent="0.2">
      <c r="A8" s="2" t="s">
        <v>13</v>
      </c>
      <c r="B8" s="3">
        <v>168</v>
      </c>
      <c r="C8" s="4">
        <v>-3786.5534834820201</v>
      </c>
      <c r="D8" s="3">
        <v>15</v>
      </c>
      <c r="E8" s="4">
        <v>-3786.5534836673601</v>
      </c>
      <c r="F8" s="3">
        <v>14</v>
      </c>
      <c r="G8" s="5">
        <f t="shared" si="0"/>
        <v>-1.8534001355874352E-7</v>
      </c>
      <c r="H8">
        <v>1542</v>
      </c>
    </row>
    <row r="9" spans="1:8" x14ac:dyDescent="0.2">
      <c r="A9" s="2" t="s">
        <v>14</v>
      </c>
      <c r="B9" s="3">
        <v>453</v>
      </c>
      <c r="C9" s="4">
        <v>-7525.4647190808701</v>
      </c>
      <c r="D9" s="3">
        <v>20</v>
      </c>
      <c r="E9" s="4">
        <v>-7525.4647190664</v>
      </c>
      <c r="F9" s="3">
        <v>19</v>
      </c>
      <c r="G9" s="5">
        <f t="shared" si="0"/>
        <v>1.4470060705207288E-8</v>
      </c>
      <c r="H9">
        <v>3840</v>
      </c>
    </row>
    <row r="13" spans="1:8" x14ac:dyDescent="0.2">
      <c r="A13" s="1" t="s">
        <v>15</v>
      </c>
    </row>
    <row r="14" spans="1:8" x14ac:dyDescent="0.2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8</v>
      </c>
      <c r="H14" s="1" t="s">
        <v>17</v>
      </c>
    </row>
    <row r="15" spans="1:8" x14ac:dyDescent="0.2">
      <c r="A15" s="2" t="s">
        <v>9</v>
      </c>
      <c r="B15" s="3">
        <v>24</v>
      </c>
      <c r="C15" s="6">
        <v>-679.83777642779296</v>
      </c>
      <c r="D15" s="3">
        <v>14</v>
      </c>
      <c r="E15" s="6">
        <v>-679.83777654350104</v>
      </c>
      <c r="F15" s="3">
        <v>14</v>
      </c>
      <c r="G15" s="5">
        <f>E15-C15</f>
        <v>-1.1570807600946864E-7</v>
      </c>
      <c r="H15">
        <v>494</v>
      </c>
    </row>
    <row r="16" spans="1:8" x14ac:dyDescent="0.2">
      <c r="A16" s="2" t="s">
        <v>10</v>
      </c>
      <c r="B16" s="3">
        <v>25</v>
      </c>
      <c r="C16" s="6">
        <v>-572.47877689060601</v>
      </c>
      <c r="D16" s="3">
        <v>14</v>
      </c>
      <c r="E16" s="6">
        <v>-572.47877679985299</v>
      </c>
      <c r="F16" s="3">
        <v>13</v>
      </c>
      <c r="G16" s="5">
        <f t="shared" ref="G16:G20" si="1">E16-C16</f>
        <v>9.0753019321709871E-8</v>
      </c>
      <c r="H16">
        <v>475</v>
      </c>
    </row>
    <row r="17" spans="1:8" x14ac:dyDescent="0.2">
      <c r="A17" s="2" t="s">
        <v>11</v>
      </c>
      <c r="B17" s="3">
        <v>75</v>
      </c>
      <c r="C17" s="6">
        <v>-1130.5949833444599</v>
      </c>
      <c r="D17" s="3">
        <v>14</v>
      </c>
      <c r="E17" s="6">
        <v>-1130.5949832689</v>
      </c>
      <c r="F17" s="3">
        <v>14</v>
      </c>
      <c r="G17" s="5">
        <f t="shared" si="1"/>
        <v>7.5559910328593105E-8</v>
      </c>
      <c r="H17">
        <v>1144</v>
      </c>
    </row>
    <row r="18" spans="1:8" x14ac:dyDescent="0.2">
      <c r="A18" s="2" t="s">
        <v>12</v>
      </c>
      <c r="B18" s="3">
        <v>110</v>
      </c>
      <c r="C18" s="6">
        <v>-2924.8551068388101</v>
      </c>
      <c r="D18" s="3">
        <v>20</v>
      </c>
      <c r="E18" s="6">
        <v>-2924.8551068156999</v>
      </c>
      <c r="F18" s="3">
        <v>17</v>
      </c>
      <c r="G18" s="5">
        <f t="shared" si="1"/>
        <v>2.3110260372050107E-8</v>
      </c>
      <c r="H18">
        <v>2185</v>
      </c>
    </row>
    <row r="19" spans="1:8" x14ac:dyDescent="0.2">
      <c r="A19" s="2" t="s">
        <v>13</v>
      </c>
      <c r="B19" s="3">
        <v>168</v>
      </c>
      <c r="C19" s="6">
        <v>-3790.84258438899</v>
      </c>
      <c r="D19" s="3">
        <v>16</v>
      </c>
      <c r="E19" s="6">
        <v>-3790.8425841972298</v>
      </c>
      <c r="F19" s="3">
        <v>14</v>
      </c>
      <c r="G19" s="5">
        <f t="shared" si="1"/>
        <v>1.9176013665855862E-7</v>
      </c>
      <c r="H19">
        <v>2958</v>
      </c>
    </row>
    <row r="20" spans="1:8" x14ac:dyDescent="0.2">
      <c r="A20" s="2" t="s">
        <v>14</v>
      </c>
      <c r="B20" s="3">
        <v>453</v>
      </c>
      <c r="C20" s="6">
        <v>-7533.6637534152296</v>
      </c>
      <c r="D20" s="3">
        <v>23</v>
      </c>
      <c r="E20" s="7">
        <v>-7533.6637532295199</v>
      </c>
      <c r="F20" s="3">
        <v>22</v>
      </c>
      <c r="G20" s="5">
        <f t="shared" si="1"/>
        <v>1.8570972315501422E-7</v>
      </c>
      <c r="H20">
        <v>7093</v>
      </c>
    </row>
    <row r="24" spans="1:8" x14ac:dyDescent="0.2">
      <c r="A24" s="1" t="s">
        <v>16</v>
      </c>
    </row>
    <row r="25" spans="1:8" x14ac:dyDescent="0.2">
      <c r="A25" s="1" t="s">
        <v>1</v>
      </c>
      <c r="B25" s="1" t="s">
        <v>2</v>
      </c>
      <c r="C25" s="1" t="s">
        <v>3</v>
      </c>
      <c r="D25" s="1" t="s">
        <v>4</v>
      </c>
      <c r="E25" s="1" t="s">
        <v>5</v>
      </c>
      <c r="F25" s="1" t="s">
        <v>6</v>
      </c>
      <c r="G25" s="1" t="s">
        <v>8</v>
      </c>
      <c r="H25" s="1" t="s">
        <v>17</v>
      </c>
    </row>
    <row r="26" spans="1:8" x14ac:dyDescent="0.2">
      <c r="A26" s="2" t="s">
        <v>9</v>
      </c>
      <c r="B26" s="3">
        <v>24</v>
      </c>
      <c r="C26" s="6">
        <v>-679.88227413274205</v>
      </c>
      <c r="D26" s="3">
        <v>15</v>
      </c>
      <c r="E26" s="6">
        <v>-679.88227416437599</v>
      </c>
      <c r="F26" s="3">
        <v>14</v>
      </c>
      <c r="G26" s="5">
        <f>E26-C26</f>
        <v>-3.1633931030228268E-8</v>
      </c>
      <c r="H26">
        <v>1098</v>
      </c>
    </row>
    <row r="27" spans="1:8" x14ac:dyDescent="0.2">
      <c r="A27" s="2" t="s">
        <v>10</v>
      </c>
      <c r="B27" s="3">
        <v>25</v>
      </c>
      <c r="C27" s="6">
        <v>-572.52362443218794</v>
      </c>
      <c r="D27" s="3">
        <v>14</v>
      </c>
      <c r="E27" s="6">
        <v>-572.52362423121201</v>
      </c>
      <c r="F27" s="3">
        <v>13</v>
      </c>
      <c r="G27" s="5">
        <f t="shared" ref="G27:G31" si="2">E27-C27</f>
        <v>2.0097593278478598E-7</v>
      </c>
      <c r="H27">
        <v>1101</v>
      </c>
    </row>
    <row r="28" spans="1:8" x14ac:dyDescent="0.2">
      <c r="A28" s="2" t="s">
        <v>11</v>
      </c>
      <c r="B28" s="3">
        <v>75</v>
      </c>
      <c r="C28" s="6">
        <v>-1130.6855014582</v>
      </c>
      <c r="D28" s="3">
        <v>13</v>
      </c>
      <c r="E28" s="6">
        <v>-1130.6855015536501</v>
      </c>
      <c r="F28" s="3">
        <v>14</v>
      </c>
      <c r="G28" s="5">
        <f t="shared" si="2"/>
        <v>-9.5450104709016159E-8</v>
      </c>
      <c r="H28">
        <v>2976</v>
      </c>
    </row>
    <row r="29" spans="1:8" x14ac:dyDescent="0.2">
      <c r="A29" s="2" t="s">
        <v>12</v>
      </c>
      <c r="B29" s="3">
        <v>110</v>
      </c>
      <c r="C29" s="6">
        <v>-2925.0545464530701</v>
      </c>
      <c r="D29" s="3">
        <v>16</v>
      </c>
      <c r="E29" s="6">
        <v>-2925.0545450100699</v>
      </c>
      <c r="F29" s="3">
        <v>13</v>
      </c>
      <c r="G29" s="5">
        <f t="shared" si="2"/>
        <v>1.44300020110677E-6</v>
      </c>
      <c r="H29">
        <v>4947</v>
      </c>
    </row>
    <row r="30" spans="1:8" x14ac:dyDescent="0.2">
      <c r="A30" s="2" t="s">
        <v>13</v>
      </c>
      <c r="B30" s="3">
        <v>168</v>
      </c>
      <c r="C30" s="6">
        <v>-3791.1246262241202</v>
      </c>
      <c r="D30" s="3">
        <v>19</v>
      </c>
      <c r="E30" s="6">
        <v>-3791.1246263309499</v>
      </c>
      <c r="F30" s="3">
        <v>15</v>
      </c>
      <c r="G30" s="5">
        <f t="shared" si="2"/>
        <v>-1.0682970241759904E-7</v>
      </c>
      <c r="H30">
        <v>7146</v>
      </c>
    </row>
    <row r="31" spans="1:8" x14ac:dyDescent="0.2">
      <c r="A31" s="2" t="s">
        <v>14</v>
      </c>
      <c r="B31" s="3">
        <v>453</v>
      </c>
      <c r="C31" s="6">
        <v>-7534.2422553480401</v>
      </c>
      <c r="D31" s="3">
        <v>22</v>
      </c>
      <c r="E31" s="7">
        <v>-7534.2422555120702</v>
      </c>
      <c r="F31" s="3">
        <v>20</v>
      </c>
      <c r="G31" s="5">
        <f t="shared" si="2"/>
        <v>-1.6403009794885293E-7</v>
      </c>
      <c r="H31">
        <v>18315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Gen_Organic_Mol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Sharma</dc:creator>
  <cp:lastModifiedBy>Manas Sharma</cp:lastModifiedBy>
  <dcterms:created xsi:type="dcterms:W3CDTF">2025-08-15T06:15:14Z</dcterms:created>
  <dcterms:modified xsi:type="dcterms:W3CDTF">2026-04-18T05:42:28Z</dcterms:modified>
</cp:coreProperties>
</file>